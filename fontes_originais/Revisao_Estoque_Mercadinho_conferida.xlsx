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5"/>
    <sheet state="visible" name="Itens Cadastrados - Revisão" sheetId="2" r:id="rId6"/>
    <sheet state="visible" name="Itens Novos (Não Cadastrados)" sheetId="3" r:id="rId7"/>
  </sheets>
  <definedNames>
    <definedName hidden="1" localSheetId="1" name="_xlnm._FilterDatabase">'Itens Cadastrados - Revisão'!$A$1:$J$261</definedName>
    <definedName hidden="1" localSheetId="2" name="_xlnm._FilterDatabase">'Itens Novos (Não Cadastrados)'!$A$1:$E$40</definedName>
  </definedNames>
  <calcPr/>
</workbook>
</file>

<file path=xl/sharedStrings.xml><?xml version="1.0" encoding="utf-8"?>
<sst xmlns="http://schemas.openxmlformats.org/spreadsheetml/2006/main" count="1606" uniqueCount="663">
  <si>
    <t>Planilha de Revisão — Contagem Física (Estoque Mercadinho)</t>
  </si>
  <si>
    <t>Esta planilha organiza a contagem física registrada à mão no documento 'ESTOQUE MERCADINHO.pdf' (11 páginas, ~13/07/2026), para revisão ANTES de qualquer lançamento no sistema. Nenhum dado foi lançado automaticamente — é uma etapa de conferência.</t>
  </si>
  <si>
    <t>Por que revisar antes de lançar?</t>
  </si>
  <si>
    <t>O documento tem números escritos à mão, muitos itens riscados, correções e itens anotados nas margens que não têm código no sistema. Alguns números manuscritos são ambíguos (ex.: pode ser '3' ou '8', '33' ou '55'). Lançar direto no sistema sem conferência arrisca registrar um saldo errado — por isso cada linha aqui tem uma coluna 'Situação' e, quando necessário, uma observação explicando a dúvida.</t>
  </si>
  <si>
    <t>Como usar esta planilha</t>
  </si>
  <si>
    <t>1) Abra a aba 'Itens Cadastrados - Revisão'. Ela lista os produtos que já existem no catálogo impresso do sistema (mercadoria, temperos, açougue etc.), com o saldo do sistema, a contagem física lida e uma coluna 'Situação'.</t>
  </si>
  <si>
    <t>2) Situação 'OK' = contagem clara, pronta para virar um Ajuste de Estoque. Situação 'Verificar' = leitura incerta — confirme o número certo antes de lançar. Situação 'Não contado' = o item foi riscado no papel ou não tem número escrito — não deve ser lançado (mantém o saldo atual do sistema).</t>
  </si>
  <si>
    <t>3) Abra a aba 'Itens Novos (Não Cadastrados)'. São ~39 itens anotados nas margens/rodapés das páginas que NÃO aparecem na lista impressa — ou seja, não existem como produto no sistema ainda. Esses itens precisam ser CADASTRADOS primeiro (aba Produtos Brutos ou Fracionados) antes de poder receber um Ajuste de Estoque, porque a tela de Ajuste exige selecionar um produto já existente.</t>
  </si>
  <si>
    <t>4) Depois de confirmar os valores (principalmente as linhas 'Verificar'), use a aba 'Ajuste de Estoque' do sistema para lançar, um produto por vez: selecione o produto, informe o novo saldo (a contagem física confirmada), o motivo ('Contagem física — Mercadinho 13/07/2026') e o responsável pela contagem.</t>
  </si>
  <si>
    <t>Sobre as categorias</t>
  </si>
  <si>
    <t>As categorias no PDF (MERCEARIA, HORTIFRUTI, AÇOUGUE, TEMPEROS, BEBIDAS, EMBALAGENS) são diferentes das categorias já cadastradas no sistema. A coluna 'Categoria (PDF)' é só referência — ao cadastrar ou ajustar cada item, escolha a categoria correspondente já usada no sistema.</t>
  </si>
  <si>
    <t>Legenda de cores (aba de revisão)</t>
  </si>
  <si>
    <t>Verde = contagem OK, pronta para lançar</t>
  </si>
  <si>
    <t>Amarelo = Verificar — leitura incerta, confirmar antes de lançar</t>
  </si>
  <si>
    <t>Cinza = Não contado — item riscado ou sem anotação, não lançar</t>
  </si>
  <si>
    <t>Resumo: 260 linhas na lista impressa revisadas + 39 itens novos anotados nas margens (sem código no sistema).</t>
  </si>
  <si>
    <t>Página PDF</t>
  </si>
  <si>
    <t>Código PDF</t>
  </si>
  <si>
    <t>Produto</t>
  </si>
  <si>
    <t>Categoria (PDF)</t>
  </si>
  <si>
    <t>Unidade</t>
  </si>
  <si>
    <t>Saldo Sistema (impresso)</t>
  </si>
  <si>
    <t>Contagem Física</t>
  </si>
  <si>
    <t>Diferença</t>
  </si>
  <si>
    <t>Situação</t>
  </si>
  <si>
    <t>Observação</t>
  </si>
  <si>
    <t>14</t>
  </si>
  <si>
    <t>Arroz Koblenz - 5 kg</t>
  </si>
  <si>
    <t>MERCEARIA</t>
  </si>
  <si>
    <t>kg</t>
  </si>
  <si>
    <t>OK</t>
  </si>
  <si>
    <t>8</t>
  </si>
  <si>
    <t>Repolho</t>
  </si>
  <si>
    <t>HORTIFRUTI</t>
  </si>
  <si>
    <t>—</t>
  </si>
  <si>
    <t>Nao contado</t>
  </si>
  <si>
    <t>Item riscado no papel (nao contado nesta conferencia)</t>
  </si>
  <si>
    <t>274</t>
  </si>
  <si>
    <t>Cappuccino (anotado: Café)</t>
  </si>
  <si>
    <t>BEBIDAS</t>
  </si>
  <si>
    <t>un</t>
  </si>
  <si>
    <t>48</t>
  </si>
  <si>
    <t>Sal (anotação de tamanho ilegível, ~1-3kg)</t>
  </si>
  <si>
    <t>SAL 1KG</t>
  </si>
  <si>
    <t>Anotação do tamanho do pacote ilegível</t>
  </si>
  <si>
    <t>275</t>
  </si>
  <si>
    <t>Palmito Gr (anotado 500gr)</t>
  </si>
  <si>
    <t>800G</t>
  </si>
  <si>
    <t>Número escrito pouco claro, pode ser outro valor</t>
  </si>
  <si>
    <t>15</t>
  </si>
  <si>
    <t>Óleo (anotado: de soja)</t>
  </si>
  <si>
    <t>g</t>
  </si>
  <si>
    <t>25</t>
  </si>
  <si>
    <t>Feijoada</t>
  </si>
  <si>
    <t>EMBALAGENS</t>
  </si>
  <si>
    <t>Item riscado</t>
  </si>
  <si>
    <t>37</t>
  </si>
  <si>
    <t>Calabresa</t>
  </si>
  <si>
    <t>AÇOUGUE</t>
  </si>
  <si>
    <t>39</t>
  </si>
  <si>
    <t>Lombo Suíno</t>
  </si>
  <si>
    <t>18</t>
  </si>
  <si>
    <t>Água</t>
  </si>
  <si>
    <t>ml</t>
  </si>
  <si>
    <t>50</t>
  </si>
  <si>
    <t>Alho</t>
  </si>
  <si>
    <t>41</t>
  </si>
  <si>
    <t>Tomate (anotado 360gr)</t>
  </si>
  <si>
    <t>51</t>
  </si>
  <si>
    <t>Folha de Louro</t>
  </si>
  <si>
    <t>TEMPEROS</t>
  </si>
  <si>
    <t>160G</t>
  </si>
  <si>
    <t>Saldo impresso e mínimo aparecem riscados/alterados no papel</t>
  </si>
  <si>
    <t>20</t>
  </si>
  <si>
    <t>Laranja</t>
  </si>
  <si>
    <t>21</t>
  </si>
  <si>
    <t>Couve</t>
  </si>
  <si>
    <t>6</t>
  </si>
  <si>
    <t>Pimentão</t>
  </si>
  <si>
    <t>32</t>
  </si>
  <si>
    <t>Feijão Preto</t>
  </si>
  <si>
    <t>9</t>
  </si>
  <si>
    <t>Azeite de Oliva</t>
  </si>
  <si>
    <t>33</t>
  </si>
  <si>
    <t>Cebola</t>
  </si>
  <si>
    <t>45</t>
  </si>
  <si>
    <t>Óleo</t>
  </si>
  <si>
    <t>Linha inteira riscada</t>
  </si>
  <si>
    <t>81</t>
  </si>
  <si>
    <t>Arroz Arbóreo - 1 kg</t>
  </si>
  <si>
    <t>22</t>
  </si>
  <si>
    <t>Torresmo</t>
  </si>
  <si>
    <t>Anotado como '22 Kg'</t>
  </si>
  <si>
    <t>36</t>
  </si>
  <si>
    <t>Bacon</t>
  </si>
  <si>
    <t>38</t>
  </si>
  <si>
    <t>Costela Defumada</t>
  </si>
  <si>
    <t>42</t>
  </si>
  <si>
    <t>Pimentão Colorido</t>
  </si>
  <si>
    <t>46</t>
  </si>
  <si>
    <t>Farinha de Trigo (anotado 1kg)</t>
  </si>
  <si>
    <t>68</t>
  </si>
  <si>
    <t>Açúcar Refinado 1KG</t>
  </si>
  <si>
    <t>52</t>
  </si>
  <si>
    <t>Farinha de Mandioca Biju</t>
  </si>
  <si>
    <t>54</t>
  </si>
  <si>
    <t>Alga Marinha Nori - C/50 Folhas</t>
  </si>
  <si>
    <t>pct</t>
  </si>
  <si>
    <t>89</t>
  </si>
  <si>
    <t>Alcachofra - 2,5 KG</t>
  </si>
  <si>
    <t>55</t>
  </si>
  <si>
    <t>Macarrão Penne Paganini 500G</t>
  </si>
  <si>
    <t>72</t>
  </si>
  <si>
    <t>Amêndoas Laminadas (anotado 1kg)</t>
  </si>
  <si>
    <t>56</t>
  </si>
  <si>
    <t>Polenta Instantânea</t>
  </si>
  <si>
    <t>57</t>
  </si>
  <si>
    <t>Macarrão Fettuccine Nidi (anotado 500gr)</t>
  </si>
  <si>
    <t>59</t>
  </si>
  <si>
    <t>Essência de Baunilha (anotação de volume ilegível)</t>
  </si>
  <si>
    <t>gramas</t>
  </si>
  <si>
    <t>Anotação do volume ao lado do nome ilegível</t>
  </si>
  <si>
    <t>60</t>
  </si>
  <si>
    <t>Macarrão Penne Paganini 500g</t>
  </si>
  <si>
    <t>90</t>
  </si>
  <si>
    <t>Amendoim - 400 GR</t>
  </si>
  <si>
    <t>62</t>
  </si>
  <si>
    <t>Aceto Balsâmico</t>
  </si>
  <si>
    <t>78</t>
  </si>
  <si>
    <t>Arroz Negro 500 GR (corrigido p/ 1kg)</t>
  </si>
  <si>
    <t>64</t>
  </si>
  <si>
    <t>Açúcar Confeiteiro</t>
  </si>
  <si>
    <t>Símbolo ao lado do 'Não' ambíguo — pode ser 0 ou 'não contado'</t>
  </si>
  <si>
    <t>65</t>
  </si>
  <si>
    <t>Açúcar Cristal (anotado 2Kg)</t>
  </si>
  <si>
    <t>79</t>
  </si>
  <si>
    <t>Arroz Vermelho 500GR</t>
  </si>
  <si>
    <t>Mesmo símbolo ambíguo da linha 64</t>
  </si>
  <si>
    <t>66</t>
  </si>
  <si>
    <t>Açúcar Gelado</t>
  </si>
  <si>
    <t>Mesmo símbolo ambíguo</t>
  </si>
  <si>
    <t>67</t>
  </si>
  <si>
    <t>Açúcar Mascavo - 500GR</t>
  </si>
  <si>
    <t>91</t>
  </si>
  <si>
    <t>Ameixa s/ semente - 1 KG</t>
  </si>
  <si>
    <t>80</t>
  </si>
  <si>
    <t>Fermento Biológico</t>
  </si>
  <si>
    <t>Verificar</t>
  </si>
  <si>
    <t>Contagem manuscrita ilegível (rabisco sobre o valor); saldo/mínimo impressos também riscados</t>
  </si>
  <si>
    <t>92</t>
  </si>
  <si>
    <t>Arroz Koblenz - 5 KG</t>
  </si>
  <si>
    <t>82</t>
  </si>
  <si>
    <t>Abacaxi em Calda - 800 GR</t>
  </si>
  <si>
    <t>83</t>
  </si>
  <si>
    <t>Achocolatado em Pó</t>
  </si>
  <si>
    <t>Riscado, mas com um '0' anotado — confirmar se é contagem real</t>
  </si>
  <si>
    <t>84</t>
  </si>
  <si>
    <t>Açúcar Cristal - 2 KG</t>
  </si>
  <si>
    <t>Riscado, sem número legível</t>
  </si>
  <si>
    <t>85</t>
  </si>
  <si>
    <t>Açúcar Mascavo - 500 GR (anotado 1kg)</t>
  </si>
  <si>
    <t>86</t>
  </si>
  <si>
    <t>Açúcar Refinado - 1 KG</t>
  </si>
  <si>
    <t>87</t>
  </si>
  <si>
    <t>Adoçante Sacarina - 200 ML</t>
  </si>
  <si>
    <t>88</t>
  </si>
  <si>
    <t>Agar Agar</t>
  </si>
  <si>
    <t>94</t>
  </si>
  <si>
    <t>Atum - 170 GR</t>
  </si>
  <si>
    <t>95</t>
  </si>
  <si>
    <t>Azeite de Dendê - 900 ML</t>
  </si>
  <si>
    <t>96</t>
  </si>
  <si>
    <t>Azeite de Oliva Extra Virgem - 500 ML</t>
  </si>
  <si>
    <t>97</t>
  </si>
  <si>
    <t>Azeitona Verde Fatiada - 1 KG</t>
  </si>
  <si>
    <t>Rabiscado por cima, sem número legível</t>
  </si>
  <si>
    <t>98</t>
  </si>
  <si>
    <t>Azeitona Verde Fatiada - 3,2 KG</t>
  </si>
  <si>
    <t>Escrito com '#' e sublinhado — confirmar valor</t>
  </si>
  <si>
    <t>99</t>
  </si>
  <si>
    <t>Azeitona Verde s/ Caroço - 780 GR</t>
  </si>
  <si>
    <t>100</t>
  </si>
  <si>
    <t>Azeitona Fatiada - 3,2 KG</t>
  </si>
  <si>
    <t>101</t>
  </si>
  <si>
    <t>Arroz p/ Sushi - 5 KG</t>
  </si>
  <si>
    <t>102</t>
  </si>
  <si>
    <t>103</t>
  </si>
  <si>
    <t>Wasabi Premium em Pó - 1 KG</t>
  </si>
  <si>
    <t>104</t>
  </si>
  <si>
    <t>Mistura p/ Tempura - 500 GR</t>
  </si>
  <si>
    <t>105</t>
  </si>
  <si>
    <t>Mistura p/ Tempura - 1 KG (anotação de tamanho pouco clara)</t>
  </si>
  <si>
    <t>106</t>
  </si>
  <si>
    <t>Hondashi Tempero p/ Peixe - 500 GR</t>
  </si>
  <si>
    <t>107</t>
  </si>
  <si>
    <t>Batata Palha - 800 GR</t>
  </si>
  <si>
    <t>108</t>
  </si>
  <si>
    <t>Bolacha Maizena (anotado 350gr)</t>
  </si>
  <si>
    <t>109</t>
  </si>
  <si>
    <t>Cacau em Pó 70% - 500 GR</t>
  </si>
  <si>
    <t>110</t>
  </si>
  <si>
    <t>Cacau em Pó 100% - 1 KG - Barry</t>
  </si>
  <si>
    <t>111</t>
  </si>
  <si>
    <t>Café - 500 GR</t>
  </si>
  <si>
    <t>112</t>
  </si>
  <si>
    <t>Caldo de Carne em Pó - 1 KG</t>
  </si>
  <si>
    <t>113</t>
  </si>
  <si>
    <t>Caldo de Galinha em Pó - 1 KG</t>
  </si>
  <si>
    <t>114</t>
  </si>
  <si>
    <t>Camomila - KG</t>
  </si>
  <si>
    <t>115</t>
  </si>
  <si>
    <t>Canela em Pau - 10 GR</t>
  </si>
  <si>
    <t>116</t>
  </si>
  <si>
    <t>Canela em Pau - 500 GR</t>
  </si>
  <si>
    <t>Nota ao lado: 'pedir' (comprar mais)</t>
  </si>
  <si>
    <t>117</t>
  </si>
  <si>
    <t>Canela em Pó - 1 KG</t>
  </si>
  <si>
    <t>118</t>
  </si>
  <si>
    <t>Catchup - 3,5 KG</t>
  </si>
  <si>
    <t>119</t>
  </si>
  <si>
    <t>Cereja em Calda - 3,1 KG</t>
  </si>
  <si>
    <t>120</t>
  </si>
  <si>
    <t>Chá de Lavanda - 50 GR</t>
  </si>
  <si>
    <t>121</t>
  </si>
  <si>
    <t>Chá Mate Leão</t>
  </si>
  <si>
    <t>122</t>
  </si>
  <si>
    <t>Chantily Gran American - 1 L</t>
  </si>
  <si>
    <t>123</t>
  </si>
  <si>
    <t>Chocolate Branco Barra - 1 KG</t>
  </si>
  <si>
    <t>124</t>
  </si>
  <si>
    <t>Chocolate Meio Amargo Sicao Barra - 2 KG</t>
  </si>
  <si>
    <t>125</t>
  </si>
  <si>
    <t>Chocolate Granulado - 1 KG</t>
  </si>
  <si>
    <t>126</t>
  </si>
  <si>
    <t>Chocolate Meio Amargo Nestlé - 1 KG</t>
  </si>
  <si>
    <t>127</t>
  </si>
  <si>
    <t>Coco Ralado - 1 KG</t>
  </si>
  <si>
    <t>128</t>
  </si>
  <si>
    <t>Champignon/Cogumelo em Conserva - 3,2</t>
  </si>
  <si>
    <t>129</t>
  </si>
  <si>
    <t>Cogumelo Funghi/Shitake - 50 GR</t>
  </si>
  <si>
    <t>130</t>
  </si>
  <si>
    <t>Cogumelo Funghi Seco - 1 KG</t>
  </si>
  <si>
    <t>131</t>
  </si>
  <si>
    <t>Cominho em Pó - 8 GR</t>
  </si>
  <si>
    <t>132</t>
  </si>
  <si>
    <t>Confeti/Pastilhas Coloridas Tipo M&amp;M - 50 (anotado 500gr)</t>
  </si>
  <si>
    <t>133</t>
  </si>
  <si>
    <t>Colorau - 500 GR</t>
  </si>
  <si>
    <t>134</t>
  </si>
  <si>
    <t>Conhaque Presidente</t>
  </si>
  <si>
    <t>135</t>
  </si>
  <si>
    <t>Cravo Flor - 10 GR</t>
  </si>
  <si>
    <t>136</t>
  </si>
  <si>
    <t>Cravo Flor</t>
  </si>
  <si>
    <t>137</t>
  </si>
  <si>
    <t>Cravo em Pó - 1 KG</t>
  </si>
  <si>
    <t>Anotação rasurada e reescrita ('3 de 1kg + 0,524gr') — confirmar valor final</t>
  </si>
  <si>
    <t>138</t>
  </si>
  <si>
    <t>Creme Culinário Vegetal - 1 KG</t>
  </si>
  <si>
    <t>139</t>
  </si>
  <si>
    <t>Creme de Leite - 200 GR</t>
  </si>
  <si>
    <t>140</t>
  </si>
  <si>
    <t>Doce de Leite p/ Confeitaria - 1 KG</t>
  </si>
  <si>
    <t>141</t>
  </si>
  <si>
    <t>Doce Soro de Leite Sabor Chocolate - 4,8</t>
  </si>
  <si>
    <t>142</t>
  </si>
  <si>
    <t>Doritos - 300 GR (anotado 257gr)</t>
  </si>
  <si>
    <t>143</t>
  </si>
  <si>
    <t>Ervilha Seca - 500 GR</t>
  </si>
  <si>
    <t>144</t>
  </si>
  <si>
    <t>Espinafre em Pó - 1 KG</t>
  </si>
  <si>
    <t>145</t>
  </si>
  <si>
    <t>Extrato de Malte em Pó - 1 KG</t>
  </si>
  <si>
    <t>146</t>
  </si>
  <si>
    <t>Extrato de Tomate Elefante - 1,7 KG</t>
  </si>
  <si>
    <t>147</t>
  </si>
  <si>
    <t>Farinha de Arroz - 1 KG</t>
  </si>
  <si>
    <t>148</t>
  </si>
  <si>
    <t>Farinha de Centeio - 2 KG</t>
  </si>
  <si>
    <t>149</t>
  </si>
  <si>
    <t>Farinha de Grão de Bico - 1 KG</t>
  </si>
  <si>
    <t>Símbolo antes do número (círculo) — confirmar se é '1' ou '01'</t>
  </si>
  <si>
    <t>150</t>
  </si>
  <si>
    <t>Farinha de Mandioca - 1 KG (Doação)</t>
  </si>
  <si>
    <t>151</t>
  </si>
  <si>
    <t>Farinha de Mandioca Pura - 500 GR</t>
  </si>
  <si>
    <t>Página com impressão desbotada; item riscado, sem contagem</t>
  </si>
  <si>
    <t>152</t>
  </si>
  <si>
    <t>Farinha de Rosca</t>
  </si>
  <si>
    <t>Saldo impresso do sistema ilegível nesta página (impressão desbotada)</t>
  </si>
  <si>
    <t>153</t>
  </si>
  <si>
    <t>Farinha de Saraceno - 1 KG</t>
  </si>
  <si>
    <t>154</t>
  </si>
  <si>
    <t>Farinha de Trigo - 1 KG</t>
  </si>
  <si>
    <t>Item riscado; impressão desbotada</t>
  </si>
  <si>
    <t>155</t>
  </si>
  <si>
    <t>Farinha de Trigo Integral - 1 KG</t>
  </si>
  <si>
    <t>Anotado '0 (encerrar)' — possível descontinuação do item; impressão desbotada</t>
  </si>
  <si>
    <t>156</t>
  </si>
  <si>
    <t>Farinha Panko - 1 KG</t>
  </si>
  <si>
    <t>Anotado '(encerrar)' — possível descontinuação do item</t>
  </si>
  <si>
    <t>157</t>
  </si>
  <si>
    <t>Farinha Panko - Sushi Fioccopanko</t>
  </si>
  <si>
    <t>Número manuscrito de leitura difícil (33 ou 55?)</t>
  </si>
  <si>
    <t>158</t>
  </si>
  <si>
    <t>Fécula de Batata - 1 KG</t>
  </si>
  <si>
    <t>159</t>
  </si>
  <si>
    <t>Feijão Carioca - 1 KG</t>
  </si>
  <si>
    <t>160</t>
  </si>
  <si>
    <t>Feijão Preto - 1 KG</t>
  </si>
  <si>
    <t>161</t>
  </si>
  <si>
    <t>Fermento Biológico - 500 GR</t>
  </si>
  <si>
    <t>162</t>
  </si>
  <si>
    <t>Fermento Químico (anotado 150gr)</t>
  </si>
  <si>
    <t>163</t>
  </si>
  <si>
    <t>Figo em Calda - 850 GR</t>
  </si>
  <si>
    <t>164</t>
  </si>
  <si>
    <t>Figo Ramy - 525 GR</t>
  </si>
  <si>
    <t>165</t>
  </si>
  <si>
    <t>Folhas de Louro - 150 GR</t>
  </si>
  <si>
    <t>166</t>
  </si>
  <si>
    <t>Fubá (anotado 1Kg)</t>
  </si>
  <si>
    <t>167</t>
  </si>
  <si>
    <t>Gelatina sem Sabor - 24 GR</t>
  </si>
  <si>
    <t>168</t>
  </si>
  <si>
    <t>Gelatina sem Sabor - 1 KG</t>
  </si>
  <si>
    <t>169</t>
  </si>
  <si>
    <t>Geleia de Brilho Vermelho - 4,3 KG</t>
  </si>
  <si>
    <t>170</t>
  </si>
  <si>
    <t>Gergelim Branco - 1 KG</t>
  </si>
  <si>
    <t>171</t>
  </si>
  <si>
    <t>Gergelim Preto - 1 KG</t>
  </si>
  <si>
    <t>172</t>
  </si>
  <si>
    <t>Açúcar Glace Real</t>
  </si>
  <si>
    <t>173</t>
  </si>
  <si>
    <t>Goiabada - 1 KG</t>
  </si>
  <si>
    <t>174</t>
  </si>
  <si>
    <t>Gordura Vegetal/Óleo Algodão - 15,8 L</t>
  </si>
  <si>
    <t>175</t>
  </si>
  <si>
    <t>Gotas de Chocolate ao Leite (anotado 1Kg)</t>
  </si>
  <si>
    <t>176</t>
  </si>
  <si>
    <t>Grão de Bico - 1 KG</t>
  </si>
  <si>
    <t>177</t>
  </si>
  <si>
    <t>Leite</t>
  </si>
  <si>
    <t>178</t>
  </si>
  <si>
    <t>Leite Condensado - 395 GR</t>
  </si>
  <si>
    <t>179</t>
  </si>
  <si>
    <t>Leite de Coco</t>
  </si>
  <si>
    <t>180</t>
  </si>
  <si>
    <t>Leite de Coco Sococo - 1 L</t>
  </si>
  <si>
    <t>181</t>
  </si>
  <si>
    <t>Goma Xantana - 1 KG</t>
  </si>
  <si>
    <t>182</t>
  </si>
  <si>
    <t>Gengibre em Conserva - 1 KG</t>
  </si>
  <si>
    <t>183</t>
  </si>
  <si>
    <t>Macarrão Conchiglioni - 500 GR</t>
  </si>
  <si>
    <t>184</t>
  </si>
  <si>
    <t>Macarrão Espaguete - 500 GR</t>
  </si>
  <si>
    <t>185</t>
  </si>
  <si>
    <t>Macarrão Espaguete Zero Gluten - 500 GR</t>
  </si>
  <si>
    <t>186</t>
  </si>
  <si>
    <t>Macarrão Farfalle/Gravata - 500 GR</t>
  </si>
  <si>
    <t>187</t>
  </si>
  <si>
    <t>Maionese Helmanns - 500 GR</t>
  </si>
  <si>
    <t>188</t>
  </si>
  <si>
    <t>Maionese Helmanns Sachê - 2,8 KG</t>
  </si>
  <si>
    <t>189</t>
  </si>
  <si>
    <t>Amido de Milho - 1 KG (anotado 5kg)</t>
  </si>
  <si>
    <t>190</t>
  </si>
  <si>
    <t>Maria Mole</t>
  </si>
  <si>
    <t>191</t>
  </si>
  <si>
    <t>Margarina - 15,8 L</t>
  </si>
  <si>
    <t>192</t>
  </si>
  <si>
    <t>Massa de Arroz/Oriental - 500 GR</t>
  </si>
  <si>
    <t>193</t>
  </si>
  <si>
    <t>Massa de Lasanha Zero Gluten - 250 GR</t>
  </si>
  <si>
    <t>194</t>
  </si>
  <si>
    <t>Massa Tipo Talharim/Caseira - 400 GR</t>
  </si>
  <si>
    <t>Item também riscado, mas com contagem 0 anotada</t>
  </si>
  <si>
    <t>195</t>
  </si>
  <si>
    <t>Mel - Garrafa 2 L</t>
  </si>
  <si>
    <t>196</t>
  </si>
  <si>
    <t>Melhorado de Farinha Fleischmann - 300 G</t>
  </si>
  <si>
    <t>197</t>
  </si>
  <si>
    <t>Milho Verde (anotado 1,7kg)</t>
  </si>
  <si>
    <t>198</t>
  </si>
  <si>
    <t>Mistura p/ Bolo s/ Gluten - 400 GR</t>
  </si>
  <si>
    <t>199</t>
  </si>
  <si>
    <t>Molho de Pimenta Jalapeño - 100 ML</t>
  </si>
  <si>
    <t>200</t>
  </si>
  <si>
    <t>Molho de Tarê - 200 ML</t>
  </si>
  <si>
    <t>201</t>
  </si>
  <si>
    <t>Mostarda - 3,2 KG</t>
  </si>
  <si>
    <t>202</t>
  </si>
  <si>
    <t>Mostarda Dijon - 1 KG</t>
  </si>
  <si>
    <t>203</t>
  </si>
  <si>
    <t>Noz Moscada em Pó</t>
  </si>
  <si>
    <t>204</t>
  </si>
  <si>
    <t>Noz Moscada Semente - 1 KG</t>
  </si>
  <si>
    <t>205</t>
  </si>
  <si>
    <t>Noz Pecã - 1 KG</t>
  </si>
  <si>
    <t>Item também riscado</t>
  </si>
  <si>
    <t>206</t>
  </si>
  <si>
    <t>Nutella - 3 KG</t>
  </si>
  <si>
    <t>207</t>
  </si>
  <si>
    <t>Óleo de Gergelim - 250 ML</t>
  </si>
  <si>
    <t>208</t>
  </si>
  <si>
    <t>Óleo de Soja</t>
  </si>
  <si>
    <t>209</t>
  </si>
  <si>
    <t>Orégano - 1 KG</t>
  </si>
  <si>
    <t>210</t>
  </si>
  <si>
    <t>Ovos de Codorna 1,8 KG</t>
  </si>
  <si>
    <t>211</t>
  </si>
  <si>
    <t>Paçoca (anotado cx c/100un)</t>
  </si>
  <si>
    <t>212</t>
  </si>
  <si>
    <t>Pepino em Conserva - 560 GR (corrigido p/ 540g)</t>
  </si>
  <si>
    <t>213</t>
  </si>
  <si>
    <t>Pêssego em Calda - 820 GR</t>
  </si>
  <si>
    <t>214</t>
  </si>
  <si>
    <t>Pimenta Jamaica - 1 KG</t>
  </si>
  <si>
    <t>215</t>
  </si>
  <si>
    <t>Pimenta Jamaica Síria - 1 KG</t>
  </si>
  <si>
    <t>Sem alteração em relação ao sistema</t>
  </si>
  <si>
    <t>216</t>
  </si>
  <si>
    <t>Pimenta Preta Moída - 1 KG</t>
  </si>
  <si>
    <t>217</t>
  </si>
  <si>
    <t>Pimenta Síria Moída - 1 KG</t>
  </si>
  <si>
    <t>Também riscado — confirmar se contagem é realmente zero</t>
  </si>
  <si>
    <t>218</t>
  </si>
  <si>
    <t>Pipoca - 500 GR</t>
  </si>
  <si>
    <t>219</t>
  </si>
  <si>
    <t>Pó Royal - 250 GR</t>
  </si>
  <si>
    <t>220</t>
  </si>
  <si>
    <t>Polvilho Doce - 1 KG</t>
  </si>
  <si>
    <t>221</t>
  </si>
  <si>
    <t>Propionato de Cálcio - 2 KG</t>
  </si>
  <si>
    <t>222</t>
  </si>
  <si>
    <t>Psyllium - 1 KG</t>
  </si>
  <si>
    <t>223</t>
  </si>
  <si>
    <t>Quinoa Branca - 1 KG</t>
  </si>
  <si>
    <t>224</t>
  </si>
  <si>
    <t>Quinoa Mix - 1 KG</t>
  </si>
  <si>
    <t>225</t>
  </si>
  <si>
    <t>Sachê de Catchup Heinz</t>
  </si>
  <si>
    <t>226</t>
  </si>
  <si>
    <t>Sachê de Maionese Heinz</t>
  </si>
  <si>
    <t>227</t>
  </si>
  <si>
    <t>Sachê de Mostarda Heinz</t>
  </si>
  <si>
    <t>228</t>
  </si>
  <si>
    <t>Sachê de Shoyu - C/250 un</t>
  </si>
  <si>
    <t>229</t>
  </si>
  <si>
    <t>Sachê de Tarê - C/252 un</t>
  </si>
  <si>
    <t>230</t>
  </si>
  <si>
    <t>Sagu - 400 GR</t>
  </si>
  <si>
    <t>231</t>
  </si>
  <si>
    <t>Sal Fino - 1 KG</t>
  </si>
  <si>
    <t>232</t>
  </si>
  <si>
    <t>Sal Grosso - 1 KG</t>
  </si>
  <si>
    <t>Anotado 'OK' ao lado — contagem confirmada pela responsável</t>
  </si>
  <si>
    <t>233</t>
  </si>
  <si>
    <t>Salsa Trufada - 500 GR</t>
  </si>
  <si>
    <t>234</t>
  </si>
  <si>
    <t>Semente de Chia - 1 KG</t>
  </si>
  <si>
    <t>235</t>
  </si>
  <si>
    <t>Shoyu (3,1l)</t>
  </si>
  <si>
    <t>Anotação de tamanho ao lado do nome pouco legível</t>
  </si>
  <si>
    <t>236</t>
  </si>
  <si>
    <t>Suco de Maracujá Maguary - 500 ML</t>
  </si>
  <si>
    <t>237</t>
  </si>
  <si>
    <t>Suco de Uva Integral Aurora - 1,5 L</t>
  </si>
  <si>
    <t>238</t>
  </si>
  <si>
    <t>Suspiro Merengue - 250 GR</t>
  </si>
  <si>
    <t>239</t>
  </si>
  <si>
    <t>Tacos Mexicanos</t>
  </si>
  <si>
    <t>240</t>
  </si>
  <si>
    <t>Tapioca p/ Bolo e Pudim/Média - 500 GR</t>
  </si>
  <si>
    <t>241</t>
  </si>
  <si>
    <t>Tempero Baiano - 1 KG</t>
  </si>
  <si>
    <t>242</t>
  </si>
  <si>
    <t>Tempero Ervas Finas c/ Limão - 500 GR</t>
  </si>
  <si>
    <t>243</t>
  </si>
  <si>
    <t>Tempero Sírio - 500 GR</t>
  </si>
  <si>
    <t>244</t>
  </si>
  <si>
    <t>Tempero Zattar - 1 KG</t>
  </si>
  <si>
    <t>245</t>
  </si>
  <si>
    <t>Tomate Seco - 2 KG</t>
  </si>
  <si>
    <t>246</t>
  </si>
  <si>
    <t>Marcado com X, sem número</t>
  </si>
  <si>
    <t>247</t>
  </si>
  <si>
    <t>Tortilhas de Trigo - C/20 Discos</t>
  </si>
  <si>
    <t>248</t>
  </si>
  <si>
    <t>Trigo em Grão - 1 KG</t>
  </si>
  <si>
    <t>249</t>
  </si>
  <si>
    <t>Trigo p/ Quibe (anotado 4kg)</t>
  </si>
  <si>
    <t>250</t>
  </si>
  <si>
    <t>Uva Passa Branca - 1 KG</t>
  </si>
  <si>
    <t>251</t>
  </si>
  <si>
    <t>Uva Passa Preta - 1 KG</t>
  </si>
  <si>
    <t>252</t>
  </si>
  <si>
    <t>Cachaça Velho Barreiro</t>
  </si>
  <si>
    <t>253</t>
  </si>
  <si>
    <t>Vinagre de Álcool - 5 L</t>
  </si>
  <si>
    <t>254</t>
  </si>
  <si>
    <t>Vinagre de Maçã - 750 ML</t>
  </si>
  <si>
    <t>255</t>
  </si>
  <si>
    <t>Vinho Branco Seco - 4,5 L</t>
  </si>
  <si>
    <t>256</t>
  </si>
  <si>
    <t>Vinho Tinto Seco - 4,5 L</t>
  </si>
  <si>
    <t>Número manuscrito de leitura difícil (6 ou 0?)</t>
  </si>
  <si>
    <t>257</t>
  </si>
  <si>
    <t>Uva Passa Preta - 2 KG</t>
  </si>
  <si>
    <t>258</t>
  </si>
  <si>
    <t>Tomate Pelati - 2,55 KG</t>
  </si>
  <si>
    <t>259</t>
  </si>
  <si>
    <t>Farinha de Trigo Motasa 65 - 10 KG</t>
  </si>
  <si>
    <t>260</t>
  </si>
  <si>
    <t>Farinha de Trigo Motasa 45 - 10 KG</t>
  </si>
  <si>
    <t>261</t>
  </si>
  <si>
    <t>Sêmola - 10 KG</t>
  </si>
  <si>
    <t>262</t>
  </si>
  <si>
    <t>Café Cappuccino</t>
  </si>
  <si>
    <t>263</t>
  </si>
  <si>
    <t>Macarrão Penne Paganini - 500 GR</t>
  </si>
  <si>
    <t>264</t>
  </si>
  <si>
    <t>Macarrão Spaghetti Paganini - 500 GR</t>
  </si>
  <si>
    <t>265</t>
  </si>
  <si>
    <t>Filé de Anchova - 90 GR</t>
  </si>
  <si>
    <t>266</t>
  </si>
  <si>
    <t>Polenta Instantânea Paganini</t>
  </si>
  <si>
    <t>267</t>
  </si>
  <si>
    <t>Mix de Castanhas e Frutas - 1 KG</t>
  </si>
  <si>
    <t>268</t>
  </si>
  <si>
    <t>Açúcar Perolado - 600 GR</t>
  </si>
  <si>
    <t>269</t>
  </si>
  <si>
    <t>Tomate Seco Sachê - 150 GR</t>
  </si>
  <si>
    <t>270</t>
  </si>
  <si>
    <t>Fermento Biológico p/ Massas e Doces - 5</t>
  </si>
  <si>
    <t>271</t>
  </si>
  <si>
    <t>Azeitona Verde c/ Caroço - 3 KG</t>
  </si>
  <si>
    <t>Rabiscado, sem número legível</t>
  </si>
  <si>
    <t>272</t>
  </si>
  <si>
    <t>Pão de Hambúrguer Brioche c/ Gergelim</t>
  </si>
  <si>
    <t>Sem anotação de contagem</t>
  </si>
  <si>
    <t>273</t>
  </si>
  <si>
    <t>Açúcar Mascavo - 1 KG</t>
  </si>
  <si>
    <t>276</t>
  </si>
  <si>
    <t>Vinagre de Vinho Tinto - 750 ML</t>
  </si>
  <si>
    <t>277</t>
  </si>
  <si>
    <t>Vinagre de Álcool - 750 ML</t>
  </si>
  <si>
    <t>278</t>
  </si>
  <si>
    <t>Tapioca Grossa - 1 KG</t>
  </si>
  <si>
    <t>279</t>
  </si>
  <si>
    <t>Macarrão Fettuccine Nidi - Paganini</t>
  </si>
  <si>
    <t>280</t>
  </si>
  <si>
    <t>Filé de Anchova - 306 GR (corrigido p/ 360gr)</t>
  </si>
  <si>
    <t>281</t>
  </si>
  <si>
    <t>Fumaça Líquida - 1 L</t>
  </si>
  <si>
    <t>282</t>
  </si>
  <si>
    <t>Saquê Mirin Azuma 5 L</t>
  </si>
  <si>
    <t>283</t>
  </si>
  <si>
    <t>Leite de Coco - 1 L</t>
  </si>
  <si>
    <t>284</t>
  </si>
  <si>
    <t>Gergelim Preto p/ Sushi - 1 KG</t>
  </si>
  <si>
    <t>285</t>
  </si>
  <si>
    <t>Gergelim Branco Torrado p/ Sushi - 1 KG</t>
  </si>
  <si>
    <t>286</t>
  </si>
  <si>
    <t>Geleia Queensberry - 320 GR</t>
  </si>
  <si>
    <t>287</t>
  </si>
  <si>
    <t>Alho Frito - 100 GR</t>
  </si>
  <si>
    <t>288</t>
  </si>
  <si>
    <t>Macarrão Parafuso</t>
  </si>
  <si>
    <t>289</t>
  </si>
  <si>
    <t>Alcaparra - 4 KG (corrigido p/ 2,2kg)</t>
  </si>
  <si>
    <t>290</t>
  </si>
  <si>
    <t>Farinha de Trigo Motasa M150 - 10 KG</t>
  </si>
  <si>
    <t>291</t>
  </si>
  <si>
    <t>Doce de Leite - 900 GR</t>
  </si>
  <si>
    <t>292</t>
  </si>
  <si>
    <t>Champignon/Cogumelo em Conserva - 2 KG</t>
  </si>
  <si>
    <t>293</t>
  </si>
  <si>
    <t>Essência de Baunilha - 800 ML</t>
  </si>
  <si>
    <t>294</t>
  </si>
  <si>
    <t>Chocolate Meio Amargo - 1 KG</t>
  </si>
  <si>
    <t>295</t>
  </si>
  <si>
    <t>Extrato de Tomate Elefante - 1 KG</t>
  </si>
  <si>
    <t>296</t>
  </si>
  <si>
    <t>Flor de Sal - 1 KG (Sal)</t>
  </si>
  <si>
    <t>297</t>
  </si>
  <si>
    <t>Azeitona Preta Fatiada - 1 KG Sachê (corrigido p/ 3,2kg)</t>
  </si>
  <si>
    <t>298</t>
  </si>
  <si>
    <t>Barbecue - 400 GR</t>
  </si>
  <si>
    <t>299</t>
  </si>
  <si>
    <t>Orégano - 250 GR</t>
  </si>
  <si>
    <t>300</t>
  </si>
  <si>
    <t>Açúcar Impalpável</t>
  </si>
  <si>
    <t>301</t>
  </si>
  <si>
    <t>Papel Alumínio - 65 mt</t>
  </si>
  <si>
    <t>Resumo:</t>
  </si>
  <si>
    <t>Total de linhas revisadas</t>
  </si>
  <si>
    <t>Situação OK (prontos para lançar)</t>
  </si>
  <si>
    <t>Situação Verificar (confirmar antes)</t>
  </si>
  <si>
    <t>Não contados (riscados / sem número)</t>
  </si>
  <si>
    <t>Nome (conforme anotado)</t>
  </si>
  <si>
    <t>Categoria Sugerida</t>
  </si>
  <si>
    <t>Quantidade Contada</t>
  </si>
  <si>
    <t>Desmoldante</t>
  </si>
  <si>
    <t>(definir)</t>
  </si>
  <si>
    <t>Anotação '7(2)' — o número entre parênteses tem significado incerto</t>
  </si>
  <si>
    <t>Coador de café</t>
  </si>
  <si>
    <t>Anotação '2(1)' — o número entre parênteses tem significado incerto</t>
  </si>
  <si>
    <t>Filme Plástico Rl-6d</t>
  </si>
  <si>
    <t>Gás de Maçarico</t>
  </si>
  <si>
    <t>Anotação entre parênteses ilegível (possível troca de categoria)</t>
  </si>
  <si>
    <t>Luva M</t>
  </si>
  <si>
    <t>Luva G</t>
  </si>
  <si>
    <t>Cacau em Pó 100% - 500gr</t>
  </si>
  <si>
    <t>Possível variação de tamanho dos itens já cadastrados (Cód. 109/110) — confirmar se é item novo ou o mesmo</t>
  </si>
  <si>
    <t>Item não identificado (300gr, nome cortado na dobra da página)</t>
  </si>
  <si>
    <t>Nome ilegível/cortado na dobra da página — necessário confirmar com a responsável</t>
  </si>
  <si>
    <t>Macarrão Parafuso 500gr</t>
  </si>
  <si>
    <t>Possível variação de tamanho do item já cadastrado (Cód. 288 'Macarrão Parafuso') — confirmar se é item novo ou o mesmo</t>
  </si>
  <si>
    <t>Orégano 250gr</t>
  </si>
  <si>
    <t>Possível duplicata do item cadastrado Cód. 299 'Orégano - 250GR' (contagem 1 igual) — provavelmente a mesma anotação repetida</t>
  </si>
  <si>
    <t>Papel Manteiga 7,5m</t>
  </si>
  <si>
    <t>Saquê Mirin Azuma 500ml</t>
  </si>
  <si>
    <t>Possível variação de tamanho do item já cadastrado (Cód. 282 'Saquê Mirin Azuma 5L') — confirmar se é item novo ou o mesmo</t>
  </si>
  <si>
    <t>Flocão 500gr</t>
  </si>
  <si>
    <t>Proteína de Soja 400gr</t>
  </si>
  <si>
    <t>Amêndoas Laminadas 500gr</t>
  </si>
  <si>
    <t>Possível variação de tamanho do item já cadastrado (Cód. 72 'Amêndoas Laminadas') — confirmar</t>
  </si>
  <si>
    <t>Alcaparra 3,2kg</t>
  </si>
  <si>
    <t>Possível variação de tamanho do item já cadastrado (Cód. 289 'Alcaparra') — confirmar</t>
  </si>
  <si>
    <t>Azeitona Preta s/ Caroço 3,2kg</t>
  </si>
  <si>
    <t>Pimenta Biquinho Vermelha 3,2kg</t>
  </si>
  <si>
    <t>Cebolinha 3,2kg</t>
  </si>
  <si>
    <t>Azeitona Verde c/ Caroço Premium</t>
  </si>
  <si>
    <t>Azeitona Verde c/ Caroço 3,2kg</t>
  </si>
  <si>
    <t>Possível duplicata da linha anterior — confirmar se são embalagens diferentes</t>
  </si>
  <si>
    <t>Tomate Seco 3kg</t>
  </si>
  <si>
    <t>Azeitona Verde c/ Caroço 3kg</t>
  </si>
  <si>
    <t>Tomate Seco 2kg</t>
  </si>
  <si>
    <t>Possível duplicata da linha anterior de tamanho diferente — confirmar</t>
  </si>
  <si>
    <t>Açafrão 1kg</t>
  </si>
  <si>
    <t>Páprica Defumada 1kg</t>
  </si>
  <si>
    <t>Flor de Sal 1kg</t>
  </si>
  <si>
    <t>Possível duplicata do item cadastrado Cód. 296 'Flor de Sal - 1KG' — confirmar</t>
  </si>
  <si>
    <t>Pimenta Rosa em Grãos 25gr</t>
  </si>
  <si>
    <t>Anis Estrelado 15gr</t>
  </si>
  <si>
    <t>Páprica Defumada 30gr</t>
  </si>
  <si>
    <t>Canela em Pó 50gr</t>
  </si>
  <si>
    <t>Chocolate c/ Avelã 1kg</t>
  </si>
  <si>
    <t>Chocolate Branco 1kg</t>
  </si>
  <si>
    <t>Possível duplicata do item cadastrado Cód. 123 'Chocolate Branco Barra - 1KG' — confirmar</t>
  </si>
  <si>
    <t>Totopos Coloridos 1kg</t>
  </si>
  <si>
    <t>Leite em Pó 400gr</t>
  </si>
  <si>
    <t>Aveia em Flocos 500gr</t>
  </si>
  <si>
    <t>Arroz Vermelho 1kg</t>
  </si>
  <si>
    <t>Possível variação de tamanho do item já cadastrado (Cód. 79 'Arroz Vermelho 500GR') — confirmar</t>
  </si>
  <si>
    <t>Mix de Sementes 1kg</t>
  </si>
  <si>
    <t>Total de itens novos encontrados nas margens: 39</t>
  </si>
  <si>
    <t>Estes itens não têm código correspondente na lista impressa do sistema.</t>
  </si>
  <si>
    <t>Antes de lançar qualquer ajuste para eles, cadastre-os em Produtos Brutos ou Produtos Fracionados.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</si>
</sst>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1F3B57"/>
      <name val="Arial"/>
    </font>
    <font>
      <b/>
      <sz val="10.0"/>
      <color rgb="FF000000"/>
      <name val="Arial"/>
    </font>
    <font>
      <b/>
      <sz val="12.0"/>
      <color rgb="FF1F3B57"/>
      <name val="Arial"/>
    </font>
    <font>
      <sz val="10.0"/>
      <color rgb="FF000000"/>
      <name val="Arial"/>
    </font>
    <font>
      <b/>
      <sz val="10.0"/>
      <color rgb="FF1A7A3C"/>
      <name val="Arial"/>
    </font>
    <font>
      <b/>
      <sz val="10.0"/>
      <color rgb="FF9C6500"/>
      <name val="Arial"/>
    </font>
    <font>
      <b/>
      <sz val="10.0"/>
      <color rgb="FF666666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1A7A3C"/>
      <name val="Arial"/>
    </font>
    <font>
      <sz val="10.0"/>
      <color rgb="FF9C6500"/>
      <name val="Arial"/>
    </font>
    <font>
      <sz val="10.0"/>
      <color rgb="FF666666"/>
      <name val="Arial"/>
    </font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E5F3E8"/>
        <bgColor rgb="FFE5F3E8"/>
      </patternFill>
    </fill>
    <fill>
      <patternFill patternType="solid">
        <fgColor rgb="FFF2F2F2"/>
        <bgColor rgb="FFF2F2F2"/>
      </patternFill>
    </fill>
    <fill>
      <patternFill patternType="solid">
        <fgColor rgb="FFFFF3CD"/>
        <bgColor rgb="FFFFF3CD"/>
      </patternFill>
    </fill>
    <fill>
      <patternFill patternType="solid">
        <fgColor rgb="FFFDEDEE"/>
        <bgColor rgb="FFFDEDEE"/>
      </patternFill>
    </fill>
  </fills>
  <borders count="3">
    <border/>
    <border>
      <left/>
      <right/>
      <top/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ill="1" applyFont="1">
      <alignment shrinkToFit="0" vertical="center" wrapText="0"/>
    </xf>
    <xf borderId="2" fillId="3" fontId="9" numFmtId="0" xfId="0" applyAlignment="1" applyBorder="1" applyFont="1">
      <alignment shrinkToFit="0" vertical="center" wrapText="1"/>
    </xf>
    <xf borderId="2" fillId="4" fontId="9" numFmtId="0" xfId="0" applyAlignment="1" applyBorder="1" applyFill="1" applyFont="1">
      <alignment shrinkToFit="0" vertical="center" wrapText="0"/>
    </xf>
    <xf borderId="2" fillId="4" fontId="9" numFmtId="0" xfId="0" applyAlignment="1" applyBorder="1" applyFont="1">
      <alignment shrinkToFit="0" vertical="center" wrapText="1"/>
    </xf>
    <xf borderId="2" fillId="5" fontId="9" numFmtId="0" xfId="0" applyAlignment="1" applyBorder="1" applyFill="1" applyFont="1">
      <alignment shrinkToFit="0" vertical="center" wrapText="0"/>
    </xf>
    <xf borderId="2" fillId="5" fontId="9" numFmtId="0" xfId="0" applyAlignment="1" applyBorder="1" applyFont="1">
      <alignment shrinkToFit="0" vertical="center" wrapText="1"/>
    </xf>
    <xf borderId="2" fillId="5" fontId="9" numFmtId="0" xfId="0" applyAlignment="1" applyBorder="1" applyFont="1">
      <alignment readingOrder="0" shrinkToFit="0" vertical="center" wrapText="0"/>
    </xf>
    <xf borderId="2" fillId="4" fontId="9" numFmtId="0" xfId="0" applyAlignment="1" applyBorder="1" applyFont="1">
      <alignment readingOrder="0" shrinkToFit="0" vertical="center" wrapText="0"/>
    </xf>
    <xf borderId="2" fillId="5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2" fillId="6" fontId="9" numFmtId="0" xfId="0" applyAlignment="1" applyBorder="1" applyFill="1" applyFont="1">
      <alignment shrinkToFit="0" vertical="center" wrapText="0"/>
    </xf>
    <xf borderId="2" fillId="6" fontId="9" numFmtId="0" xfId="0" applyAlignment="1" applyBorder="1" applyFont="1">
      <alignment shrinkToFit="0" vertical="center" wrapText="1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3" ht="30.0" customHeight="1">
      <c r="A3" s="2" t="s">
        <v>1</v>
      </c>
    </row>
    <row r="5">
      <c r="A5" s="3" t="s">
        <v>2</v>
      </c>
    </row>
    <row r="6" ht="30.0" customHeight="1">
      <c r="A6" s="4" t="s">
        <v>3</v>
      </c>
    </row>
    <row r="8">
      <c r="A8" s="3" t="s">
        <v>4</v>
      </c>
    </row>
    <row r="9" ht="30.0" customHeight="1">
      <c r="A9" s="4" t="s">
        <v>5</v>
      </c>
    </row>
    <row r="10" ht="30.0" customHeight="1">
      <c r="A10" s="4" t="s">
        <v>6</v>
      </c>
    </row>
    <row r="11" ht="30.0" customHeight="1">
      <c r="A11" s="4" t="s">
        <v>7</v>
      </c>
    </row>
    <row r="12" ht="30.0" customHeight="1">
      <c r="A12" s="4" t="s">
        <v>8</v>
      </c>
    </row>
    <row r="14">
      <c r="A14" s="3" t="s">
        <v>9</v>
      </c>
    </row>
    <row r="15" ht="30.0" customHeight="1">
      <c r="A15" s="4" t="s">
        <v>10</v>
      </c>
    </row>
    <row r="17">
      <c r="A17" s="3" t="s">
        <v>11</v>
      </c>
    </row>
    <row r="18">
      <c r="A18" s="5" t="s">
        <v>12</v>
      </c>
    </row>
    <row r="19">
      <c r="A19" s="6" t="s">
        <v>13</v>
      </c>
    </row>
    <row r="20">
      <c r="A20" s="7" t="s">
        <v>14</v>
      </c>
    </row>
    <row r="21" ht="15.75" customHeight="1"/>
    <row r="22" ht="30.0" customHeight="1">
      <c r="A22" s="2" t="s">
        <v>15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46.0"/>
    <col customWidth="1" min="4" max="4" width="14.0"/>
    <col customWidth="1" min="5" max="5" width="9.0"/>
    <col customWidth="1" min="6" max="6" width="18.0"/>
    <col customWidth="1" min="7" max="7" width="15.0"/>
    <col customWidth="1" min="8" max="8" width="12.0"/>
    <col customWidth="1" min="9" max="9" width="14.0"/>
    <col customWidth="1" min="10" max="10" width="60.0"/>
    <col customWidth="1" min="11" max="26" width="8.71"/>
  </cols>
  <sheetData>
    <row r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</row>
    <row r="2">
      <c r="A2" s="9">
        <v>1.0</v>
      </c>
      <c r="B2" s="9" t="s">
        <v>26</v>
      </c>
      <c r="C2" s="10" t="s">
        <v>27</v>
      </c>
      <c r="D2" s="9" t="s">
        <v>28</v>
      </c>
      <c r="E2" s="9" t="s">
        <v>29</v>
      </c>
      <c r="F2" s="9">
        <v>27.0</v>
      </c>
      <c r="G2" s="9">
        <v>4.0</v>
      </c>
      <c r="H2" s="9">
        <f>G2-F2</f>
        <v>-23</v>
      </c>
      <c r="I2" s="9" t="s">
        <v>30</v>
      </c>
      <c r="J2" s="10"/>
    </row>
    <row r="3">
      <c r="A3" s="11">
        <v>1.0</v>
      </c>
      <c r="B3" s="11" t="s">
        <v>31</v>
      </c>
      <c r="C3" s="12" t="s">
        <v>32</v>
      </c>
      <c r="D3" s="11" t="s">
        <v>33</v>
      </c>
      <c r="E3" s="11" t="s">
        <v>29</v>
      </c>
      <c r="F3" s="11">
        <v>0.0</v>
      </c>
      <c r="G3" s="11" t="s">
        <v>34</v>
      </c>
      <c r="H3" s="11" t="s">
        <v>34</v>
      </c>
      <c r="I3" s="11" t="s">
        <v>35</v>
      </c>
      <c r="J3" s="12" t="s">
        <v>36</v>
      </c>
    </row>
    <row r="4">
      <c r="A4" s="9">
        <v>1.0</v>
      </c>
      <c r="B4" s="9" t="s">
        <v>37</v>
      </c>
      <c r="C4" s="10" t="s">
        <v>38</v>
      </c>
      <c r="D4" s="9" t="s">
        <v>39</v>
      </c>
      <c r="E4" s="9" t="s">
        <v>40</v>
      </c>
      <c r="F4" s="9">
        <v>4.0</v>
      </c>
      <c r="G4" s="9">
        <v>2.0</v>
      </c>
      <c r="H4" s="9">
        <f t="shared" ref="H4:H7" si="1">G4-F4</f>
        <v>-2</v>
      </c>
      <c r="I4" s="9" t="s">
        <v>30</v>
      </c>
      <c r="J4" s="10"/>
    </row>
    <row r="5">
      <c r="A5" s="13">
        <v>1.0</v>
      </c>
      <c r="B5" s="13" t="s">
        <v>41</v>
      </c>
      <c r="C5" s="14" t="s">
        <v>42</v>
      </c>
      <c r="D5" s="13" t="s">
        <v>28</v>
      </c>
      <c r="E5" s="13" t="s">
        <v>29</v>
      </c>
      <c r="F5" s="13">
        <v>22.0</v>
      </c>
      <c r="G5" s="13">
        <v>17.0</v>
      </c>
      <c r="H5" s="13">
        <f t="shared" si="1"/>
        <v>-5</v>
      </c>
      <c r="I5" s="15" t="s">
        <v>43</v>
      </c>
      <c r="J5" s="14" t="s">
        <v>44</v>
      </c>
    </row>
    <row r="6">
      <c r="A6" s="13">
        <v>1.0</v>
      </c>
      <c r="B6" s="13" t="s">
        <v>45</v>
      </c>
      <c r="C6" s="14" t="s">
        <v>46</v>
      </c>
      <c r="D6" s="13" t="s">
        <v>28</v>
      </c>
      <c r="E6" s="13" t="s">
        <v>40</v>
      </c>
      <c r="F6" s="13">
        <v>11.0</v>
      </c>
      <c r="G6" s="13">
        <v>12.0</v>
      </c>
      <c r="H6" s="13">
        <f t="shared" si="1"/>
        <v>1</v>
      </c>
      <c r="I6" s="15" t="s">
        <v>47</v>
      </c>
      <c r="J6" s="14" t="s">
        <v>48</v>
      </c>
    </row>
    <row r="7">
      <c r="A7" s="9">
        <v>1.0</v>
      </c>
      <c r="B7" s="9" t="s">
        <v>49</v>
      </c>
      <c r="C7" s="10" t="s">
        <v>50</v>
      </c>
      <c r="D7" s="9" t="s">
        <v>28</v>
      </c>
      <c r="E7" s="9" t="s">
        <v>51</v>
      </c>
      <c r="F7" s="9">
        <v>0.0</v>
      </c>
      <c r="G7" s="9">
        <v>55.0</v>
      </c>
      <c r="H7" s="9">
        <f t="shared" si="1"/>
        <v>55</v>
      </c>
      <c r="I7" s="9" t="s">
        <v>30</v>
      </c>
      <c r="J7" s="10"/>
    </row>
    <row r="8">
      <c r="A8" s="11">
        <v>1.0</v>
      </c>
      <c r="B8" s="11" t="s">
        <v>52</v>
      </c>
      <c r="C8" s="12" t="s">
        <v>53</v>
      </c>
      <c r="D8" s="11" t="s">
        <v>54</v>
      </c>
      <c r="E8" s="11" t="s">
        <v>40</v>
      </c>
      <c r="F8" s="11">
        <v>0.0</v>
      </c>
      <c r="G8" s="11" t="s">
        <v>34</v>
      </c>
      <c r="H8" s="11" t="s">
        <v>34</v>
      </c>
      <c r="I8" s="11" t="s">
        <v>35</v>
      </c>
      <c r="J8" s="12" t="s">
        <v>55</v>
      </c>
    </row>
    <row r="9">
      <c r="A9" s="11">
        <v>1.0</v>
      </c>
      <c r="B9" s="11" t="s">
        <v>56</v>
      </c>
      <c r="C9" s="12" t="s">
        <v>57</v>
      </c>
      <c r="D9" s="11" t="s">
        <v>58</v>
      </c>
      <c r="E9" s="11" t="s">
        <v>29</v>
      </c>
      <c r="F9" s="11">
        <v>32.0</v>
      </c>
      <c r="G9" s="11" t="s">
        <v>34</v>
      </c>
      <c r="H9" s="11" t="s">
        <v>34</v>
      </c>
      <c r="I9" s="11" t="s">
        <v>35</v>
      </c>
      <c r="J9" s="12" t="s">
        <v>55</v>
      </c>
    </row>
    <row r="10">
      <c r="A10" s="11">
        <v>1.0</v>
      </c>
      <c r="B10" s="11" t="s">
        <v>59</v>
      </c>
      <c r="C10" s="12" t="s">
        <v>60</v>
      </c>
      <c r="D10" s="11" t="s">
        <v>58</v>
      </c>
      <c r="E10" s="11" t="s">
        <v>29</v>
      </c>
      <c r="F10" s="11">
        <v>32.0</v>
      </c>
      <c r="G10" s="11" t="s">
        <v>34</v>
      </c>
      <c r="H10" s="11" t="s">
        <v>34</v>
      </c>
      <c r="I10" s="11" t="s">
        <v>35</v>
      </c>
      <c r="J10" s="12" t="s">
        <v>55</v>
      </c>
    </row>
    <row r="11">
      <c r="A11" s="11">
        <v>1.0</v>
      </c>
      <c r="B11" s="11" t="s">
        <v>61</v>
      </c>
      <c r="C11" s="12" t="s">
        <v>62</v>
      </c>
      <c r="D11" s="11" t="s">
        <v>39</v>
      </c>
      <c r="E11" s="11" t="s">
        <v>63</v>
      </c>
      <c r="F11" s="11">
        <v>0.0</v>
      </c>
      <c r="G11" s="11" t="s">
        <v>34</v>
      </c>
      <c r="H11" s="11" t="s">
        <v>34</v>
      </c>
      <c r="I11" s="11" t="s">
        <v>35</v>
      </c>
      <c r="J11" s="12" t="s">
        <v>55</v>
      </c>
    </row>
    <row r="12">
      <c r="A12" s="11">
        <v>1.0</v>
      </c>
      <c r="B12" s="11" t="s">
        <v>64</v>
      </c>
      <c r="C12" s="12" t="s">
        <v>65</v>
      </c>
      <c r="D12" s="11" t="s">
        <v>28</v>
      </c>
      <c r="E12" s="11" t="s">
        <v>29</v>
      </c>
      <c r="F12" s="11">
        <v>29.0</v>
      </c>
      <c r="G12" s="11" t="s">
        <v>34</v>
      </c>
      <c r="H12" s="11" t="s">
        <v>34</v>
      </c>
      <c r="I12" s="11" t="s">
        <v>35</v>
      </c>
      <c r="J12" s="12" t="s">
        <v>55</v>
      </c>
    </row>
    <row r="13">
      <c r="A13" s="11">
        <v>1.0</v>
      </c>
      <c r="B13" s="11" t="s">
        <v>66</v>
      </c>
      <c r="C13" s="12" t="s">
        <v>67</v>
      </c>
      <c r="D13" s="11" t="s">
        <v>33</v>
      </c>
      <c r="E13" s="11" t="s">
        <v>29</v>
      </c>
      <c r="F13" s="11">
        <v>0.0</v>
      </c>
      <c r="G13" s="11" t="s">
        <v>34</v>
      </c>
      <c r="H13" s="11" t="s">
        <v>34</v>
      </c>
      <c r="I13" s="11" t="s">
        <v>35</v>
      </c>
      <c r="J13" s="12" t="s">
        <v>55</v>
      </c>
    </row>
    <row r="14">
      <c r="A14" s="13">
        <v>1.0</v>
      </c>
      <c r="B14" s="13" t="s">
        <v>68</v>
      </c>
      <c r="C14" s="14" t="s">
        <v>69</v>
      </c>
      <c r="D14" s="13" t="s">
        <v>70</v>
      </c>
      <c r="E14" s="16" t="s">
        <v>51</v>
      </c>
      <c r="F14" s="13">
        <v>570.0</v>
      </c>
      <c r="G14" s="13">
        <v>3.0</v>
      </c>
      <c r="H14" s="13">
        <f>G14-F14</f>
        <v>-567</v>
      </c>
      <c r="I14" s="15" t="s">
        <v>71</v>
      </c>
      <c r="J14" s="14" t="s">
        <v>72</v>
      </c>
    </row>
    <row r="15">
      <c r="A15" s="11">
        <v>1.0</v>
      </c>
      <c r="B15" s="11" t="s">
        <v>73</v>
      </c>
      <c r="C15" s="12" t="s">
        <v>74</v>
      </c>
      <c r="D15" s="11" t="s">
        <v>33</v>
      </c>
      <c r="F15" s="11">
        <v>0.0</v>
      </c>
      <c r="G15" s="11" t="s">
        <v>34</v>
      </c>
      <c r="H15" s="11" t="s">
        <v>34</v>
      </c>
      <c r="I15" s="11" t="s">
        <v>35</v>
      </c>
      <c r="J15" s="12" t="s">
        <v>55</v>
      </c>
    </row>
    <row r="16">
      <c r="A16" s="11">
        <v>1.0</v>
      </c>
      <c r="B16" s="11" t="s">
        <v>75</v>
      </c>
      <c r="C16" s="12" t="s">
        <v>76</v>
      </c>
      <c r="D16" s="11" t="s">
        <v>33</v>
      </c>
      <c r="E16" s="11" t="s">
        <v>29</v>
      </c>
      <c r="F16" s="11">
        <v>0.0</v>
      </c>
      <c r="G16" s="11" t="s">
        <v>34</v>
      </c>
      <c r="H16" s="11" t="s">
        <v>34</v>
      </c>
      <c r="I16" s="11" t="s">
        <v>35</v>
      </c>
      <c r="J16" s="12" t="s">
        <v>55</v>
      </c>
    </row>
    <row r="17">
      <c r="A17" s="11">
        <v>1.0</v>
      </c>
      <c r="B17" s="11" t="s">
        <v>77</v>
      </c>
      <c r="C17" s="12" t="s">
        <v>78</v>
      </c>
      <c r="D17" s="11" t="s">
        <v>33</v>
      </c>
      <c r="E17" s="11" t="s">
        <v>29</v>
      </c>
      <c r="F17" s="11">
        <v>0.0</v>
      </c>
      <c r="G17" s="11" t="s">
        <v>34</v>
      </c>
      <c r="H17" s="11" t="s">
        <v>34</v>
      </c>
      <c r="I17" s="11" t="s">
        <v>35</v>
      </c>
      <c r="J17" s="12" t="s">
        <v>55</v>
      </c>
    </row>
    <row r="18">
      <c r="A18" s="9">
        <v>1.0</v>
      </c>
      <c r="B18" s="9" t="s">
        <v>79</v>
      </c>
      <c r="C18" s="10" t="s">
        <v>80</v>
      </c>
      <c r="D18" s="9" t="s">
        <v>28</v>
      </c>
      <c r="E18" s="9" t="s">
        <v>29</v>
      </c>
      <c r="F18" s="9">
        <v>19.0</v>
      </c>
      <c r="G18" s="9">
        <v>24.0</v>
      </c>
      <c r="H18" s="9">
        <f t="shared" ref="H18:H19" si="2">G18-F18</f>
        <v>5</v>
      </c>
      <c r="I18" s="9" t="s">
        <v>30</v>
      </c>
      <c r="J18" s="10"/>
    </row>
    <row r="19">
      <c r="A19" s="9">
        <v>1.0</v>
      </c>
      <c r="B19" s="9" t="s">
        <v>81</v>
      </c>
      <c r="C19" s="10" t="s">
        <v>82</v>
      </c>
      <c r="D19" s="9" t="s">
        <v>28</v>
      </c>
      <c r="E19" s="9" t="s">
        <v>63</v>
      </c>
      <c r="F19" s="9">
        <v>0.0</v>
      </c>
      <c r="G19" s="9">
        <v>22.0</v>
      </c>
      <c r="H19" s="9">
        <f t="shared" si="2"/>
        <v>22</v>
      </c>
      <c r="I19" s="9" t="s">
        <v>30</v>
      </c>
      <c r="J19" s="10"/>
    </row>
    <row r="20">
      <c r="A20" s="11">
        <v>1.0</v>
      </c>
      <c r="B20" s="11" t="s">
        <v>83</v>
      </c>
      <c r="C20" s="12" t="s">
        <v>84</v>
      </c>
      <c r="D20" s="11" t="s">
        <v>33</v>
      </c>
      <c r="E20" s="11" t="s">
        <v>29</v>
      </c>
      <c r="F20" s="11">
        <v>29.0</v>
      </c>
      <c r="G20" s="11" t="s">
        <v>34</v>
      </c>
      <c r="H20" s="11" t="s">
        <v>34</v>
      </c>
      <c r="I20" s="11" t="s">
        <v>35</v>
      </c>
      <c r="J20" s="12" t="s">
        <v>55</v>
      </c>
    </row>
    <row r="21" ht="15.75" customHeight="1">
      <c r="A21" s="11">
        <v>1.0</v>
      </c>
      <c r="B21" s="11" t="s">
        <v>85</v>
      </c>
      <c r="C21" s="12" t="s">
        <v>86</v>
      </c>
      <c r="D21" s="11" t="s">
        <v>28</v>
      </c>
      <c r="E21" s="11" t="s">
        <v>40</v>
      </c>
      <c r="F21" s="11">
        <v>116.0</v>
      </c>
      <c r="G21" s="11" t="s">
        <v>34</v>
      </c>
      <c r="H21" s="11" t="s">
        <v>34</v>
      </c>
      <c r="I21" s="11" t="s">
        <v>35</v>
      </c>
      <c r="J21" s="12" t="s">
        <v>87</v>
      </c>
    </row>
    <row r="22" ht="15.75" customHeight="1">
      <c r="A22" s="9">
        <v>1.0</v>
      </c>
      <c r="B22" s="9" t="s">
        <v>88</v>
      </c>
      <c r="C22" s="10" t="s">
        <v>89</v>
      </c>
      <c r="D22" s="9" t="s">
        <v>28</v>
      </c>
      <c r="E22" s="9" t="s">
        <v>29</v>
      </c>
      <c r="F22" s="9">
        <v>43.0</v>
      </c>
      <c r="G22" s="9">
        <v>6.0</v>
      </c>
      <c r="H22" s="9">
        <f t="shared" ref="H22:H23" si="3">G22-F22</f>
        <v>-37</v>
      </c>
      <c r="I22" s="9" t="s">
        <v>30</v>
      </c>
      <c r="J22" s="10"/>
    </row>
    <row r="23" ht="15.75" customHeight="1">
      <c r="A23" s="9">
        <v>1.0</v>
      </c>
      <c r="B23" s="9" t="s">
        <v>90</v>
      </c>
      <c r="C23" s="10" t="s">
        <v>91</v>
      </c>
      <c r="D23" s="9" t="s">
        <v>58</v>
      </c>
      <c r="E23" s="9" t="s">
        <v>29</v>
      </c>
      <c r="F23" s="9">
        <v>21.0</v>
      </c>
      <c r="G23" s="9">
        <v>22.0</v>
      </c>
      <c r="H23" s="9">
        <f t="shared" si="3"/>
        <v>1</v>
      </c>
      <c r="I23" s="9" t="s">
        <v>30</v>
      </c>
      <c r="J23" s="10" t="s">
        <v>92</v>
      </c>
    </row>
    <row r="24" ht="15.75" customHeight="1">
      <c r="A24" s="11">
        <v>1.0</v>
      </c>
      <c r="B24" s="11" t="s">
        <v>93</v>
      </c>
      <c r="C24" s="12" t="s">
        <v>94</v>
      </c>
      <c r="D24" s="11" t="s">
        <v>58</v>
      </c>
      <c r="E24" s="11" t="s">
        <v>29</v>
      </c>
      <c r="F24" s="11">
        <v>24.0</v>
      </c>
      <c r="G24" s="11" t="s">
        <v>34</v>
      </c>
      <c r="H24" s="11" t="s">
        <v>34</v>
      </c>
      <c r="I24" s="11" t="s">
        <v>35</v>
      </c>
      <c r="J24" s="12" t="s">
        <v>55</v>
      </c>
    </row>
    <row r="25" ht="15.75" customHeight="1">
      <c r="A25" s="11">
        <v>1.0</v>
      </c>
      <c r="B25" s="11" t="s">
        <v>95</v>
      </c>
      <c r="C25" s="12" t="s">
        <v>96</v>
      </c>
      <c r="D25" s="11" t="s">
        <v>58</v>
      </c>
      <c r="E25" s="11" t="s">
        <v>29</v>
      </c>
      <c r="F25" s="11">
        <v>15.0</v>
      </c>
      <c r="G25" s="11" t="s">
        <v>34</v>
      </c>
      <c r="H25" s="11" t="s">
        <v>34</v>
      </c>
      <c r="I25" s="11" t="s">
        <v>35</v>
      </c>
      <c r="J25" s="12" t="s">
        <v>55</v>
      </c>
    </row>
    <row r="26" ht="15.75" customHeight="1">
      <c r="A26" s="11">
        <v>1.0</v>
      </c>
      <c r="B26" s="11" t="s">
        <v>97</v>
      </c>
      <c r="C26" s="12" t="s">
        <v>98</v>
      </c>
      <c r="D26" s="11" t="s">
        <v>33</v>
      </c>
      <c r="E26" s="11" t="s">
        <v>29</v>
      </c>
      <c r="F26" s="11">
        <v>0.0</v>
      </c>
      <c r="G26" s="11" t="s">
        <v>34</v>
      </c>
      <c r="H26" s="11" t="s">
        <v>34</v>
      </c>
      <c r="I26" s="11" t="s">
        <v>35</v>
      </c>
      <c r="J26" s="12" t="s">
        <v>55</v>
      </c>
    </row>
    <row r="27" ht="15.75" customHeight="1">
      <c r="A27" s="9">
        <v>1.0</v>
      </c>
      <c r="B27" s="9" t="s">
        <v>99</v>
      </c>
      <c r="C27" s="10" t="s">
        <v>100</v>
      </c>
      <c r="D27" s="9" t="s">
        <v>28</v>
      </c>
      <c r="E27" s="9" t="s">
        <v>40</v>
      </c>
      <c r="F27" s="9">
        <v>49.0</v>
      </c>
      <c r="G27" s="9">
        <v>80.0</v>
      </c>
      <c r="H27" s="9">
        <f t="shared" ref="H27:H33" si="4">G27-F27</f>
        <v>31</v>
      </c>
      <c r="I27" s="9" t="s">
        <v>30</v>
      </c>
      <c r="J27" s="10"/>
    </row>
    <row r="28" ht="15.75" customHeight="1">
      <c r="A28" s="9">
        <v>1.0</v>
      </c>
      <c r="B28" s="9" t="s">
        <v>101</v>
      </c>
      <c r="C28" s="10" t="s">
        <v>102</v>
      </c>
      <c r="D28" s="9" t="s">
        <v>28</v>
      </c>
      <c r="E28" s="9" t="s">
        <v>40</v>
      </c>
      <c r="F28" s="9">
        <v>0.0</v>
      </c>
      <c r="G28" s="9">
        <v>25.0</v>
      </c>
      <c r="H28" s="9">
        <f t="shared" si="4"/>
        <v>25</v>
      </c>
      <c r="I28" s="9" t="s">
        <v>30</v>
      </c>
      <c r="J28" s="10"/>
    </row>
    <row r="29" ht="15.75" customHeight="1">
      <c r="A29" s="9">
        <v>1.0</v>
      </c>
      <c r="B29" s="9" t="s">
        <v>103</v>
      </c>
      <c r="C29" s="10" t="s">
        <v>104</v>
      </c>
      <c r="D29" s="9" t="s">
        <v>28</v>
      </c>
      <c r="E29" s="9" t="s">
        <v>29</v>
      </c>
      <c r="F29" s="9">
        <v>5.5</v>
      </c>
      <c r="G29" s="9">
        <v>17.0</v>
      </c>
      <c r="H29" s="9">
        <f t="shared" si="4"/>
        <v>11.5</v>
      </c>
      <c r="I29" s="9" t="s">
        <v>30</v>
      </c>
      <c r="J29" s="10"/>
    </row>
    <row r="30" ht="15.75" customHeight="1">
      <c r="A30" s="9">
        <v>1.0</v>
      </c>
      <c r="B30" s="9" t="s">
        <v>105</v>
      </c>
      <c r="C30" s="10" t="s">
        <v>106</v>
      </c>
      <c r="D30" s="9" t="s">
        <v>28</v>
      </c>
      <c r="E30" s="9" t="s">
        <v>107</v>
      </c>
      <c r="F30" s="9">
        <v>16.0</v>
      </c>
      <c r="G30" s="9">
        <v>6.0</v>
      </c>
      <c r="H30" s="9">
        <f t="shared" si="4"/>
        <v>-10</v>
      </c>
      <c r="I30" s="9" t="s">
        <v>30</v>
      </c>
      <c r="J30" s="10"/>
    </row>
    <row r="31" ht="15.75" customHeight="1">
      <c r="A31" s="9">
        <v>1.0</v>
      </c>
      <c r="B31" s="9" t="s">
        <v>108</v>
      </c>
      <c r="C31" s="10" t="s">
        <v>109</v>
      </c>
      <c r="D31" s="9" t="s">
        <v>28</v>
      </c>
      <c r="E31" s="9" t="s">
        <v>40</v>
      </c>
      <c r="F31" s="9">
        <v>1.0</v>
      </c>
      <c r="G31" s="9">
        <v>1.0</v>
      </c>
      <c r="H31" s="9">
        <f t="shared" si="4"/>
        <v>0</v>
      </c>
      <c r="I31" s="9" t="s">
        <v>30</v>
      </c>
      <c r="J31" s="10"/>
    </row>
    <row r="32" ht="15.75" customHeight="1">
      <c r="A32" s="9">
        <v>1.0</v>
      </c>
      <c r="B32" s="9" t="s">
        <v>110</v>
      </c>
      <c r="C32" s="10" t="s">
        <v>111</v>
      </c>
      <c r="D32" s="9" t="s">
        <v>28</v>
      </c>
      <c r="E32" s="9" t="s">
        <v>40</v>
      </c>
      <c r="F32" s="9">
        <v>11.0</v>
      </c>
      <c r="G32" s="9">
        <v>3.0</v>
      </c>
      <c r="H32" s="9">
        <f t="shared" si="4"/>
        <v>-8</v>
      </c>
      <c r="I32" s="9" t="s">
        <v>30</v>
      </c>
      <c r="J32" s="10"/>
    </row>
    <row r="33" ht="15.75" customHeight="1">
      <c r="A33" s="9">
        <v>1.0</v>
      </c>
      <c r="B33" s="9" t="s">
        <v>112</v>
      </c>
      <c r="C33" s="10" t="s">
        <v>113</v>
      </c>
      <c r="D33" s="9" t="s">
        <v>28</v>
      </c>
      <c r="E33" s="9" t="s">
        <v>29</v>
      </c>
      <c r="F33" s="9">
        <v>0.0</v>
      </c>
      <c r="G33" s="9">
        <v>3.0</v>
      </c>
      <c r="H33" s="9">
        <f t="shared" si="4"/>
        <v>3</v>
      </c>
      <c r="I33" s="9" t="s">
        <v>30</v>
      </c>
      <c r="J33" s="10"/>
    </row>
    <row r="34" ht="15.75" customHeight="1">
      <c r="A34" s="11">
        <v>1.0</v>
      </c>
      <c r="B34" s="11" t="s">
        <v>114</v>
      </c>
      <c r="C34" s="12" t="s">
        <v>115</v>
      </c>
      <c r="D34" s="11" t="s">
        <v>28</v>
      </c>
      <c r="E34" s="11" t="s">
        <v>40</v>
      </c>
      <c r="F34" s="11">
        <v>8.0</v>
      </c>
      <c r="G34" s="11" t="s">
        <v>34</v>
      </c>
      <c r="H34" s="11" t="s">
        <v>34</v>
      </c>
      <c r="I34" s="11" t="s">
        <v>35</v>
      </c>
      <c r="J34" s="12" t="s">
        <v>55</v>
      </c>
    </row>
    <row r="35" ht="15.75" customHeight="1">
      <c r="A35" s="9">
        <v>1.0</v>
      </c>
      <c r="B35" s="9" t="s">
        <v>116</v>
      </c>
      <c r="C35" s="10" t="s">
        <v>117</v>
      </c>
      <c r="D35" s="9" t="s">
        <v>28</v>
      </c>
      <c r="E35" s="9" t="s">
        <v>40</v>
      </c>
      <c r="F35" s="9">
        <v>13.0</v>
      </c>
      <c r="G35" s="9">
        <v>5.0</v>
      </c>
      <c r="H35" s="9">
        <f t="shared" ref="H35:H36" si="5">G35-F35</f>
        <v>-8</v>
      </c>
      <c r="I35" s="9" t="s">
        <v>30</v>
      </c>
      <c r="J35" s="10"/>
    </row>
    <row r="36" ht="15.75" customHeight="1">
      <c r="A36" s="13">
        <v>1.0</v>
      </c>
      <c r="B36" s="13" t="s">
        <v>118</v>
      </c>
      <c r="C36" s="14" t="s">
        <v>119</v>
      </c>
      <c r="D36" s="13" t="s">
        <v>28</v>
      </c>
      <c r="E36" s="13" t="s">
        <v>63</v>
      </c>
      <c r="F36" s="13">
        <v>800.0</v>
      </c>
      <c r="G36" s="13">
        <v>1.0</v>
      </c>
      <c r="H36" s="13">
        <f t="shared" si="5"/>
        <v>-799</v>
      </c>
      <c r="I36" s="15" t="s">
        <v>120</v>
      </c>
      <c r="J36" s="14" t="s">
        <v>121</v>
      </c>
    </row>
    <row r="37" ht="15.75" customHeight="1">
      <c r="A37" s="11">
        <v>1.0</v>
      </c>
      <c r="B37" s="11" t="s">
        <v>122</v>
      </c>
      <c r="C37" s="12" t="s">
        <v>123</v>
      </c>
      <c r="D37" s="11" t="s">
        <v>28</v>
      </c>
      <c r="E37" s="11" t="s">
        <v>40</v>
      </c>
      <c r="F37" s="11">
        <v>0.0</v>
      </c>
      <c r="G37" s="11" t="s">
        <v>34</v>
      </c>
      <c r="H37" s="11" t="s">
        <v>34</v>
      </c>
      <c r="I37" s="11" t="s">
        <v>35</v>
      </c>
      <c r="J37" s="12" t="s">
        <v>55</v>
      </c>
    </row>
    <row r="38" ht="15.75" customHeight="1">
      <c r="A38" s="9">
        <v>1.0</v>
      </c>
      <c r="B38" s="9" t="s">
        <v>124</v>
      </c>
      <c r="C38" s="10" t="s">
        <v>125</v>
      </c>
      <c r="D38" s="9" t="s">
        <v>28</v>
      </c>
      <c r="E38" s="9" t="s">
        <v>40</v>
      </c>
      <c r="F38" s="9">
        <v>6.0</v>
      </c>
      <c r="G38" s="9">
        <v>0.0</v>
      </c>
      <c r="H38" s="9">
        <f t="shared" ref="H38:H46" si="6">G38-F38</f>
        <v>-6</v>
      </c>
      <c r="I38" s="9" t="s">
        <v>30</v>
      </c>
      <c r="J38" s="10"/>
    </row>
    <row r="39" ht="15.75" customHeight="1">
      <c r="A39" s="9">
        <v>2.0</v>
      </c>
      <c r="B39" s="9" t="s">
        <v>126</v>
      </c>
      <c r="C39" s="10" t="s">
        <v>127</v>
      </c>
      <c r="D39" s="9" t="s">
        <v>28</v>
      </c>
      <c r="E39" s="9" t="s">
        <v>40</v>
      </c>
      <c r="F39" s="9">
        <v>0.0</v>
      </c>
      <c r="G39" s="9">
        <v>2.0</v>
      </c>
      <c r="H39" s="9">
        <f t="shared" si="6"/>
        <v>2</v>
      </c>
      <c r="I39" s="9" t="s">
        <v>30</v>
      </c>
      <c r="J39" s="10"/>
    </row>
    <row r="40" ht="15.75" customHeight="1">
      <c r="A40" s="9">
        <v>2.0</v>
      </c>
      <c r="B40" s="9" t="s">
        <v>128</v>
      </c>
      <c r="C40" s="10" t="s">
        <v>129</v>
      </c>
      <c r="D40" s="9" t="s">
        <v>28</v>
      </c>
      <c r="E40" s="9" t="s">
        <v>107</v>
      </c>
      <c r="F40" s="9">
        <v>0.0</v>
      </c>
      <c r="G40" s="9">
        <v>1.0</v>
      </c>
      <c r="H40" s="9">
        <f t="shared" si="6"/>
        <v>1</v>
      </c>
      <c r="I40" s="9" t="s">
        <v>30</v>
      </c>
      <c r="J40" s="10"/>
    </row>
    <row r="41" ht="15.75" customHeight="1">
      <c r="A41" s="13">
        <v>2.0</v>
      </c>
      <c r="B41" s="13" t="s">
        <v>130</v>
      </c>
      <c r="C41" s="14" t="s">
        <v>131</v>
      </c>
      <c r="D41" s="13" t="s">
        <v>28</v>
      </c>
      <c r="E41" s="13" t="s">
        <v>29</v>
      </c>
      <c r="F41" s="13">
        <v>0.0</v>
      </c>
      <c r="G41" s="13">
        <v>0.0</v>
      </c>
      <c r="H41" s="13">
        <f t="shared" si="6"/>
        <v>0</v>
      </c>
      <c r="I41" s="15">
        <v>0.0</v>
      </c>
      <c r="J41" s="14" t="s">
        <v>132</v>
      </c>
    </row>
    <row r="42" ht="15.75" customHeight="1">
      <c r="A42" s="9">
        <v>2.0</v>
      </c>
      <c r="B42" s="9" t="s">
        <v>133</v>
      </c>
      <c r="C42" s="10" t="s">
        <v>134</v>
      </c>
      <c r="D42" s="9" t="s">
        <v>28</v>
      </c>
      <c r="E42" s="9" t="s">
        <v>29</v>
      </c>
      <c r="F42" s="9">
        <v>0.0</v>
      </c>
      <c r="G42" s="9">
        <v>27.0</v>
      </c>
      <c r="H42" s="9">
        <f t="shared" si="6"/>
        <v>27</v>
      </c>
      <c r="I42" s="9" t="s">
        <v>30</v>
      </c>
      <c r="J42" s="10"/>
    </row>
    <row r="43" ht="15.75" customHeight="1">
      <c r="A43" s="13">
        <v>2.0</v>
      </c>
      <c r="B43" s="13" t="s">
        <v>135</v>
      </c>
      <c r="C43" s="14" t="s">
        <v>136</v>
      </c>
      <c r="D43" s="13" t="s">
        <v>28</v>
      </c>
      <c r="E43" s="13" t="s">
        <v>107</v>
      </c>
      <c r="F43" s="13">
        <v>0.0</v>
      </c>
      <c r="G43" s="13">
        <v>0.0</v>
      </c>
      <c r="H43" s="13">
        <f t="shared" si="6"/>
        <v>0</v>
      </c>
      <c r="I43" s="15">
        <v>0.0</v>
      </c>
      <c r="J43" s="14" t="s">
        <v>137</v>
      </c>
    </row>
    <row r="44" ht="15.75" customHeight="1">
      <c r="A44" s="13">
        <v>2.0</v>
      </c>
      <c r="B44" s="13" t="s">
        <v>138</v>
      </c>
      <c r="C44" s="14" t="s">
        <v>139</v>
      </c>
      <c r="D44" s="13" t="s">
        <v>28</v>
      </c>
      <c r="E44" s="13" t="s">
        <v>40</v>
      </c>
      <c r="F44" s="13">
        <v>0.0</v>
      </c>
      <c r="G44" s="13">
        <v>0.0</v>
      </c>
      <c r="H44" s="13">
        <f t="shared" si="6"/>
        <v>0</v>
      </c>
      <c r="I44" s="15">
        <v>0.0</v>
      </c>
      <c r="J44" s="14" t="s">
        <v>140</v>
      </c>
    </row>
    <row r="45" ht="15.75" customHeight="1">
      <c r="A45" s="9">
        <v>2.0</v>
      </c>
      <c r="B45" s="9" t="s">
        <v>141</v>
      </c>
      <c r="C45" s="10" t="s">
        <v>142</v>
      </c>
      <c r="D45" s="9" t="s">
        <v>28</v>
      </c>
      <c r="E45" s="9" t="s">
        <v>107</v>
      </c>
      <c r="F45" s="9">
        <v>0.0</v>
      </c>
      <c r="G45" s="9">
        <v>3.0</v>
      </c>
      <c r="H45" s="9">
        <f t="shared" si="6"/>
        <v>3</v>
      </c>
      <c r="I45" s="9" t="s">
        <v>30</v>
      </c>
      <c r="J45" s="10"/>
    </row>
    <row r="46" ht="15.75" customHeight="1">
      <c r="A46" s="9">
        <v>2.0</v>
      </c>
      <c r="B46" s="9" t="s">
        <v>143</v>
      </c>
      <c r="C46" s="10" t="s">
        <v>144</v>
      </c>
      <c r="D46" s="9" t="s">
        <v>28</v>
      </c>
      <c r="E46" s="9" t="s">
        <v>40</v>
      </c>
      <c r="F46" s="9">
        <v>6.0</v>
      </c>
      <c r="G46" s="9">
        <v>6.0</v>
      </c>
      <c r="H46" s="9">
        <f t="shared" si="6"/>
        <v>0</v>
      </c>
      <c r="I46" s="9" t="s">
        <v>30</v>
      </c>
      <c r="J46" s="10"/>
    </row>
    <row r="47" ht="15.75" customHeight="1">
      <c r="A47" s="13">
        <v>2.0</v>
      </c>
      <c r="B47" s="13" t="s">
        <v>145</v>
      </c>
      <c r="C47" s="14" t="s">
        <v>146</v>
      </c>
      <c r="D47" s="13" t="s">
        <v>28</v>
      </c>
      <c r="E47" s="13" t="s">
        <v>51</v>
      </c>
      <c r="F47" s="13">
        <v>5500.0</v>
      </c>
      <c r="G47" s="13" t="s">
        <v>34</v>
      </c>
      <c r="H47" s="13" t="s">
        <v>34</v>
      </c>
      <c r="I47" s="13" t="s">
        <v>147</v>
      </c>
      <c r="J47" s="14" t="s">
        <v>148</v>
      </c>
    </row>
    <row r="48" ht="15.75" customHeight="1">
      <c r="A48" s="11">
        <v>2.0</v>
      </c>
      <c r="B48" s="11" t="s">
        <v>149</v>
      </c>
      <c r="C48" s="12" t="s">
        <v>150</v>
      </c>
      <c r="D48" s="11" t="s">
        <v>28</v>
      </c>
      <c r="E48" s="11" t="s">
        <v>40</v>
      </c>
      <c r="F48" s="11">
        <v>27.0</v>
      </c>
      <c r="G48" s="11" t="s">
        <v>34</v>
      </c>
      <c r="H48" s="11" t="s">
        <v>34</v>
      </c>
      <c r="I48" s="11" t="s">
        <v>35</v>
      </c>
      <c r="J48" s="12" t="s">
        <v>87</v>
      </c>
    </row>
    <row r="49" ht="15.75" customHeight="1">
      <c r="A49" s="9">
        <v>2.0</v>
      </c>
      <c r="B49" s="9" t="s">
        <v>151</v>
      </c>
      <c r="C49" s="10" t="s">
        <v>152</v>
      </c>
      <c r="D49" s="9" t="s">
        <v>28</v>
      </c>
      <c r="E49" s="9" t="s">
        <v>40</v>
      </c>
      <c r="F49" s="9">
        <v>4.0</v>
      </c>
      <c r="G49" s="9">
        <v>4.0</v>
      </c>
      <c r="H49" s="9">
        <f t="shared" ref="H49:H50" si="7">G49-F49</f>
        <v>0</v>
      </c>
      <c r="I49" s="9" t="s">
        <v>30</v>
      </c>
      <c r="J49" s="10"/>
    </row>
    <row r="50" ht="15.75" customHeight="1">
      <c r="A50" s="13">
        <v>2.0</v>
      </c>
      <c r="B50" s="13" t="s">
        <v>153</v>
      </c>
      <c r="C50" s="14" t="s">
        <v>154</v>
      </c>
      <c r="D50" s="13" t="s">
        <v>28</v>
      </c>
      <c r="E50" s="13" t="s">
        <v>40</v>
      </c>
      <c r="F50" s="13">
        <v>2.0</v>
      </c>
      <c r="G50" s="13">
        <v>0.0</v>
      </c>
      <c r="H50" s="13">
        <f t="shared" si="7"/>
        <v>-2</v>
      </c>
      <c r="I50" s="13" t="s">
        <v>147</v>
      </c>
      <c r="J50" s="14" t="s">
        <v>155</v>
      </c>
    </row>
    <row r="51" ht="15.75" customHeight="1">
      <c r="A51" s="11">
        <v>2.0</v>
      </c>
      <c r="B51" s="11" t="s">
        <v>156</v>
      </c>
      <c r="C51" s="12" t="s">
        <v>157</v>
      </c>
      <c r="D51" s="11" t="s">
        <v>28</v>
      </c>
      <c r="E51" s="11" t="s">
        <v>40</v>
      </c>
      <c r="F51" s="11">
        <v>64.0</v>
      </c>
      <c r="G51" s="11" t="s">
        <v>34</v>
      </c>
      <c r="H51" s="11" t="s">
        <v>34</v>
      </c>
      <c r="I51" s="11" t="s">
        <v>35</v>
      </c>
      <c r="J51" s="12" t="s">
        <v>158</v>
      </c>
    </row>
    <row r="52" ht="15.75" customHeight="1">
      <c r="A52" s="9">
        <v>2.0</v>
      </c>
      <c r="B52" s="9" t="s">
        <v>159</v>
      </c>
      <c r="C52" s="10" t="s">
        <v>160</v>
      </c>
      <c r="D52" s="9" t="s">
        <v>28</v>
      </c>
      <c r="E52" s="9" t="s">
        <v>40</v>
      </c>
      <c r="F52" s="9">
        <v>4.0</v>
      </c>
      <c r="G52" s="9">
        <v>4.0</v>
      </c>
      <c r="H52" s="9">
        <f>G52-F52</f>
        <v>0</v>
      </c>
      <c r="I52" s="9" t="s">
        <v>30</v>
      </c>
      <c r="J52" s="10"/>
    </row>
    <row r="53" ht="15.75" customHeight="1">
      <c r="A53" s="11">
        <v>2.0</v>
      </c>
      <c r="B53" s="11" t="s">
        <v>161</v>
      </c>
      <c r="C53" s="12" t="s">
        <v>162</v>
      </c>
      <c r="D53" s="11" t="s">
        <v>28</v>
      </c>
      <c r="E53" s="11" t="s">
        <v>40</v>
      </c>
      <c r="F53" s="11">
        <v>8.0</v>
      </c>
      <c r="G53" s="11" t="s">
        <v>34</v>
      </c>
      <c r="H53" s="11" t="s">
        <v>34</v>
      </c>
      <c r="I53" s="11" t="s">
        <v>35</v>
      </c>
      <c r="J53" s="12" t="s">
        <v>158</v>
      </c>
    </row>
    <row r="54" ht="15.75" customHeight="1">
      <c r="A54" s="9">
        <v>2.0</v>
      </c>
      <c r="B54" s="9" t="s">
        <v>163</v>
      </c>
      <c r="C54" s="10" t="s">
        <v>164</v>
      </c>
      <c r="D54" s="9" t="s">
        <v>28</v>
      </c>
      <c r="E54" s="9" t="s">
        <v>40</v>
      </c>
      <c r="F54" s="9">
        <v>3.0</v>
      </c>
      <c r="G54" s="9">
        <v>4.0</v>
      </c>
      <c r="H54" s="9">
        <f t="shared" ref="H54:H57" si="8">G54-F54</f>
        <v>1</v>
      </c>
      <c r="I54" s="9" t="s">
        <v>30</v>
      </c>
      <c r="J54" s="10"/>
    </row>
    <row r="55" ht="15.75" customHeight="1">
      <c r="A55" s="9">
        <v>2.0</v>
      </c>
      <c r="B55" s="9" t="s">
        <v>165</v>
      </c>
      <c r="C55" s="10" t="s">
        <v>166</v>
      </c>
      <c r="D55" s="9" t="s">
        <v>28</v>
      </c>
      <c r="E55" s="9" t="s">
        <v>40</v>
      </c>
      <c r="F55" s="9">
        <v>7.0</v>
      </c>
      <c r="G55" s="9">
        <v>7.0</v>
      </c>
      <c r="H55" s="9">
        <f t="shared" si="8"/>
        <v>0</v>
      </c>
      <c r="I55" s="9" t="s">
        <v>30</v>
      </c>
      <c r="J55" s="10"/>
    </row>
    <row r="56" ht="15.75" customHeight="1">
      <c r="A56" s="9">
        <v>2.0</v>
      </c>
      <c r="B56" s="9" t="s">
        <v>167</v>
      </c>
      <c r="C56" s="10" t="s">
        <v>168</v>
      </c>
      <c r="D56" s="9" t="s">
        <v>28</v>
      </c>
      <c r="E56" s="9" t="s">
        <v>40</v>
      </c>
      <c r="F56" s="9">
        <v>3.0</v>
      </c>
      <c r="G56" s="9">
        <v>6.0</v>
      </c>
      <c r="H56" s="9">
        <f t="shared" si="8"/>
        <v>3</v>
      </c>
      <c r="I56" s="9" t="s">
        <v>30</v>
      </c>
      <c r="J56" s="10"/>
    </row>
    <row r="57" ht="15.75" customHeight="1">
      <c r="A57" s="9">
        <v>2.0</v>
      </c>
      <c r="B57" s="9" t="s">
        <v>169</v>
      </c>
      <c r="C57" s="10" t="s">
        <v>170</v>
      </c>
      <c r="D57" s="9" t="s">
        <v>70</v>
      </c>
      <c r="E57" s="9" t="s">
        <v>40</v>
      </c>
      <c r="F57" s="9">
        <v>1.0</v>
      </c>
      <c r="G57" s="9">
        <v>0.0</v>
      </c>
      <c r="H57" s="9">
        <f t="shared" si="8"/>
        <v>-1</v>
      </c>
      <c r="I57" s="9" t="s">
        <v>30</v>
      </c>
      <c r="J57" s="10"/>
    </row>
    <row r="58" ht="15.75" customHeight="1">
      <c r="A58" s="11">
        <v>2.0</v>
      </c>
      <c r="B58" s="11" t="s">
        <v>171</v>
      </c>
      <c r="C58" s="12" t="s">
        <v>172</v>
      </c>
      <c r="D58" s="11" t="s">
        <v>70</v>
      </c>
      <c r="E58" s="11" t="s">
        <v>40</v>
      </c>
      <c r="F58" s="11">
        <v>50.0</v>
      </c>
      <c r="G58" s="11" t="s">
        <v>34</v>
      </c>
      <c r="H58" s="11" t="s">
        <v>34</v>
      </c>
      <c r="I58" s="11" t="s">
        <v>35</v>
      </c>
      <c r="J58" s="12" t="s">
        <v>55</v>
      </c>
    </row>
    <row r="59" ht="15.75" customHeight="1">
      <c r="A59" s="11">
        <v>2.0</v>
      </c>
      <c r="B59" s="11" t="s">
        <v>173</v>
      </c>
      <c r="C59" s="12" t="s">
        <v>174</v>
      </c>
      <c r="D59" s="11" t="s">
        <v>28</v>
      </c>
      <c r="E59" s="11" t="s">
        <v>40</v>
      </c>
      <c r="F59" s="11">
        <v>1.0</v>
      </c>
      <c r="G59" s="11" t="s">
        <v>34</v>
      </c>
      <c r="H59" s="11" t="s">
        <v>34</v>
      </c>
      <c r="I59" s="11" t="s">
        <v>35</v>
      </c>
      <c r="J59" s="12" t="s">
        <v>175</v>
      </c>
    </row>
    <row r="60" ht="15.75" customHeight="1">
      <c r="A60" s="13">
        <v>2.0</v>
      </c>
      <c r="B60" s="13" t="s">
        <v>176</v>
      </c>
      <c r="C60" s="14" t="s">
        <v>177</v>
      </c>
      <c r="D60" s="13" t="s">
        <v>28</v>
      </c>
      <c r="E60" s="13" t="s">
        <v>40</v>
      </c>
      <c r="F60" s="13">
        <v>1.0</v>
      </c>
      <c r="G60" s="13">
        <v>10.0</v>
      </c>
      <c r="H60" s="15">
        <v>10.0</v>
      </c>
      <c r="I60" s="13" t="s">
        <v>147</v>
      </c>
      <c r="J60" s="14" t="s">
        <v>178</v>
      </c>
    </row>
    <row r="61" ht="15.75" customHeight="1">
      <c r="A61" s="9">
        <v>2.0</v>
      </c>
      <c r="B61" s="9" t="s">
        <v>179</v>
      </c>
      <c r="C61" s="10" t="s">
        <v>180</v>
      </c>
      <c r="D61" s="9" t="s">
        <v>28</v>
      </c>
      <c r="E61" s="9" t="s">
        <v>40</v>
      </c>
      <c r="F61" s="9">
        <v>1.0</v>
      </c>
      <c r="G61" s="9">
        <v>1.0</v>
      </c>
      <c r="H61" s="9">
        <f>G61-F61</f>
        <v>0</v>
      </c>
      <c r="I61" s="9" t="s">
        <v>30</v>
      </c>
      <c r="J61" s="10"/>
    </row>
    <row r="62" ht="15.75" customHeight="1">
      <c r="A62" s="11">
        <v>2.0</v>
      </c>
      <c r="B62" s="11" t="s">
        <v>181</v>
      </c>
      <c r="C62" s="12" t="s">
        <v>182</v>
      </c>
      <c r="D62" s="11" t="s">
        <v>28</v>
      </c>
      <c r="E62" s="11" t="s">
        <v>40</v>
      </c>
      <c r="F62" s="11">
        <v>1.0</v>
      </c>
      <c r="G62" s="11" t="s">
        <v>34</v>
      </c>
      <c r="H62" s="11" t="s">
        <v>34</v>
      </c>
      <c r="I62" s="11" t="s">
        <v>35</v>
      </c>
      <c r="J62" s="12" t="s">
        <v>175</v>
      </c>
    </row>
    <row r="63" ht="15.75" customHeight="1">
      <c r="A63" s="9">
        <v>2.0</v>
      </c>
      <c r="B63" s="9" t="s">
        <v>183</v>
      </c>
      <c r="C63" s="10" t="s">
        <v>184</v>
      </c>
      <c r="D63" s="9" t="s">
        <v>28</v>
      </c>
      <c r="E63" s="9" t="s">
        <v>40</v>
      </c>
      <c r="F63" s="9">
        <v>6.0</v>
      </c>
      <c r="G63" s="9">
        <v>13.0</v>
      </c>
      <c r="H63" s="9">
        <f>G63-F63</f>
        <v>7</v>
      </c>
      <c r="I63" s="9" t="s">
        <v>30</v>
      </c>
      <c r="J63" s="10"/>
    </row>
    <row r="64" ht="15.75" customHeight="1">
      <c r="A64" s="11">
        <v>2.0</v>
      </c>
      <c r="B64" s="11" t="s">
        <v>185</v>
      </c>
      <c r="C64" s="12" t="s">
        <v>106</v>
      </c>
      <c r="D64" s="11" t="s">
        <v>28</v>
      </c>
      <c r="E64" s="11" t="s">
        <v>40</v>
      </c>
      <c r="F64" s="11">
        <v>16.0</v>
      </c>
      <c r="G64" s="11" t="s">
        <v>34</v>
      </c>
      <c r="H64" s="11" t="s">
        <v>34</v>
      </c>
      <c r="I64" s="11" t="s">
        <v>35</v>
      </c>
      <c r="J64" s="12" t="s">
        <v>55</v>
      </c>
    </row>
    <row r="65" ht="15.75" customHeight="1">
      <c r="A65" s="9">
        <v>3.0</v>
      </c>
      <c r="B65" s="9" t="s">
        <v>186</v>
      </c>
      <c r="C65" s="10" t="s">
        <v>187</v>
      </c>
      <c r="D65" s="9" t="s">
        <v>70</v>
      </c>
      <c r="E65" s="9" t="s">
        <v>40</v>
      </c>
      <c r="F65" s="9">
        <v>3.0</v>
      </c>
      <c r="G65" s="9">
        <v>1.0</v>
      </c>
      <c r="H65" s="9">
        <f>G65-F65</f>
        <v>-2</v>
      </c>
      <c r="I65" s="9" t="s">
        <v>30</v>
      </c>
      <c r="J65" s="10"/>
    </row>
    <row r="66" ht="15.75" customHeight="1">
      <c r="A66" s="11">
        <v>3.0</v>
      </c>
      <c r="B66" s="11" t="s">
        <v>188</v>
      </c>
      <c r="C66" s="12" t="s">
        <v>189</v>
      </c>
      <c r="D66" s="11" t="s">
        <v>28</v>
      </c>
      <c r="E66" s="11" t="s">
        <v>40</v>
      </c>
      <c r="F66" s="11">
        <v>2.0</v>
      </c>
      <c r="G66" s="11" t="s">
        <v>34</v>
      </c>
      <c r="H66" s="11" t="s">
        <v>34</v>
      </c>
      <c r="I66" s="11" t="s">
        <v>35</v>
      </c>
      <c r="J66" s="12" t="s">
        <v>55</v>
      </c>
    </row>
    <row r="67" ht="15.75" customHeight="1">
      <c r="A67" s="9">
        <v>3.0</v>
      </c>
      <c r="B67" s="9" t="s">
        <v>190</v>
      </c>
      <c r="C67" s="10" t="s">
        <v>191</v>
      </c>
      <c r="D67" s="9" t="s">
        <v>28</v>
      </c>
      <c r="E67" s="9" t="s">
        <v>40</v>
      </c>
      <c r="F67" s="9">
        <v>78.55</v>
      </c>
      <c r="G67" s="9">
        <v>73.0</v>
      </c>
      <c r="H67" s="9">
        <f t="shared" ref="H67:H96" si="9">G67-F67</f>
        <v>-5.55</v>
      </c>
      <c r="I67" s="9" t="s">
        <v>30</v>
      </c>
      <c r="J67" s="10"/>
    </row>
    <row r="68" ht="15.75" customHeight="1">
      <c r="A68" s="9">
        <v>3.0</v>
      </c>
      <c r="B68" s="9" t="s">
        <v>192</v>
      </c>
      <c r="C68" s="10" t="s">
        <v>193</v>
      </c>
      <c r="D68" s="9" t="s">
        <v>70</v>
      </c>
      <c r="E68" s="9" t="s">
        <v>40</v>
      </c>
      <c r="F68" s="9">
        <v>2.0</v>
      </c>
      <c r="G68" s="9">
        <v>2.0</v>
      </c>
      <c r="H68" s="9">
        <f t="shared" si="9"/>
        <v>0</v>
      </c>
      <c r="I68" s="9" t="s">
        <v>30</v>
      </c>
      <c r="J68" s="10"/>
    </row>
    <row r="69" ht="15.75" customHeight="1">
      <c r="A69" s="9">
        <v>3.0</v>
      </c>
      <c r="B69" s="9" t="s">
        <v>194</v>
      </c>
      <c r="C69" s="10" t="s">
        <v>195</v>
      </c>
      <c r="D69" s="9" t="s">
        <v>28</v>
      </c>
      <c r="E69" s="9" t="s">
        <v>40</v>
      </c>
      <c r="F69" s="9">
        <v>4.0</v>
      </c>
      <c r="G69" s="9">
        <v>7.0</v>
      </c>
      <c r="H69" s="9">
        <f t="shared" si="9"/>
        <v>3</v>
      </c>
      <c r="I69" s="9" t="s">
        <v>30</v>
      </c>
      <c r="J69" s="10"/>
    </row>
    <row r="70" ht="15.75" customHeight="1">
      <c r="A70" s="9">
        <v>3.0</v>
      </c>
      <c r="B70" s="9" t="s">
        <v>196</v>
      </c>
      <c r="C70" s="10" t="s">
        <v>197</v>
      </c>
      <c r="D70" s="9" t="s">
        <v>28</v>
      </c>
      <c r="E70" s="9" t="s">
        <v>40</v>
      </c>
      <c r="F70" s="9">
        <v>14.0</v>
      </c>
      <c r="G70" s="9">
        <v>13.0</v>
      </c>
      <c r="H70" s="9">
        <f t="shared" si="9"/>
        <v>-1</v>
      </c>
      <c r="I70" s="9" t="s">
        <v>30</v>
      </c>
      <c r="J70" s="10"/>
    </row>
    <row r="71" ht="15.75" customHeight="1">
      <c r="A71" s="9">
        <v>3.0</v>
      </c>
      <c r="B71" s="9" t="s">
        <v>198</v>
      </c>
      <c r="C71" s="10" t="s">
        <v>199</v>
      </c>
      <c r="D71" s="9" t="s">
        <v>28</v>
      </c>
      <c r="E71" s="9" t="s">
        <v>40</v>
      </c>
      <c r="F71" s="9">
        <v>1.0</v>
      </c>
      <c r="G71" s="9">
        <v>1.0</v>
      </c>
      <c r="H71" s="9">
        <f t="shared" si="9"/>
        <v>0</v>
      </c>
      <c r="I71" s="9" t="s">
        <v>30</v>
      </c>
      <c r="J71" s="10"/>
    </row>
    <row r="72" ht="15.75" customHeight="1">
      <c r="A72" s="9">
        <v>3.0</v>
      </c>
      <c r="B72" s="9" t="s">
        <v>200</v>
      </c>
      <c r="C72" s="10" t="s">
        <v>201</v>
      </c>
      <c r="D72" s="9" t="s">
        <v>28</v>
      </c>
      <c r="E72" s="9" t="s">
        <v>40</v>
      </c>
      <c r="F72" s="9">
        <v>3.0</v>
      </c>
      <c r="G72" s="9">
        <v>1.0</v>
      </c>
      <c r="H72" s="9">
        <f t="shared" si="9"/>
        <v>-2</v>
      </c>
      <c r="I72" s="9" t="s">
        <v>30</v>
      </c>
      <c r="J72" s="10"/>
    </row>
    <row r="73" ht="15.75" customHeight="1">
      <c r="A73" s="9">
        <v>3.0</v>
      </c>
      <c r="B73" s="9" t="s">
        <v>202</v>
      </c>
      <c r="C73" s="10" t="s">
        <v>203</v>
      </c>
      <c r="D73" s="9" t="s">
        <v>28</v>
      </c>
      <c r="E73" s="9" t="s">
        <v>40</v>
      </c>
      <c r="F73" s="9">
        <v>35.0</v>
      </c>
      <c r="G73" s="9">
        <v>34.0</v>
      </c>
      <c r="H73" s="9">
        <f t="shared" si="9"/>
        <v>-1</v>
      </c>
      <c r="I73" s="9" t="s">
        <v>30</v>
      </c>
      <c r="J73" s="10"/>
    </row>
    <row r="74" ht="15.75" customHeight="1">
      <c r="A74" s="9">
        <v>3.0</v>
      </c>
      <c r="B74" s="9" t="s">
        <v>204</v>
      </c>
      <c r="C74" s="10" t="s">
        <v>205</v>
      </c>
      <c r="D74" s="9" t="s">
        <v>70</v>
      </c>
      <c r="E74" s="9" t="s">
        <v>40</v>
      </c>
      <c r="F74" s="9">
        <v>3.0</v>
      </c>
      <c r="G74" s="9">
        <v>3.0</v>
      </c>
      <c r="H74" s="9">
        <f t="shared" si="9"/>
        <v>0</v>
      </c>
      <c r="I74" s="9" t="s">
        <v>30</v>
      </c>
      <c r="J74" s="10"/>
    </row>
    <row r="75" ht="15.75" customHeight="1">
      <c r="A75" s="9">
        <v>3.0</v>
      </c>
      <c r="B75" s="9" t="s">
        <v>206</v>
      </c>
      <c r="C75" s="10" t="s">
        <v>207</v>
      </c>
      <c r="D75" s="9" t="s">
        <v>70</v>
      </c>
      <c r="E75" s="9" t="s">
        <v>40</v>
      </c>
      <c r="F75" s="9">
        <v>3.0</v>
      </c>
      <c r="G75" s="9">
        <v>3.0</v>
      </c>
      <c r="H75" s="9">
        <f t="shared" si="9"/>
        <v>0</v>
      </c>
      <c r="I75" s="9" t="s">
        <v>30</v>
      </c>
      <c r="J75" s="10"/>
    </row>
    <row r="76" ht="15.75" customHeight="1">
      <c r="A76" s="9">
        <v>3.0</v>
      </c>
      <c r="B76" s="9" t="s">
        <v>208</v>
      </c>
      <c r="C76" s="10" t="s">
        <v>209</v>
      </c>
      <c r="D76" s="9" t="s">
        <v>39</v>
      </c>
      <c r="E76" s="9" t="s">
        <v>29</v>
      </c>
      <c r="F76" s="9">
        <v>0.37</v>
      </c>
      <c r="G76" s="9">
        <v>0.373</v>
      </c>
      <c r="H76" s="9">
        <f t="shared" si="9"/>
        <v>0.003</v>
      </c>
      <c r="I76" s="9" t="s">
        <v>30</v>
      </c>
      <c r="J76" s="10"/>
    </row>
    <row r="77" ht="15.75" customHeight="1">
      <c r="A77" s="9">
        <v>3.0</v>
      </c>
      <c r="B77" s="9" t="s">
        <v>210</v>
      </c>
      <c r="C77" s="10" t="s">
        <v>211</v>
      </c>
      <c r="D77" s="9" t="s">
        <v>70</v>
      </c>
      <c r="E77" s="9" t="s">
        <v>40</v>
      </c>
      <c r="F77" s="9">
        <v>7.0</v>
      </c>
      <c r="G77" s="9">
        <v>6.0</v>
      </c>
      <c r="H77" s="9">
        <f t="shared" si="9"/>
        <v>-1</v>
      </c>
      <c r="I77" s="9" t="s">
        <v>30</v>
      </c>
      <c r="J77" s="10"/>
    </row>
    <row r="78" ht="15.75" customHeight="1">
      <c r="A78" s="9">
        <v>3.0</v>
      </c>
      <c r="B78" s="9" t="s">
        <v>212</v>
      </c>
      <c r="C78" s="10" t="s">
        <v>213</v>
      </c>
      <c r="D78" s="9" t="s">
        <v>70</v>
      </c>
      <c r="E78" s="9" t="s">
        <v>40</v>
      </c>
      <c r="F78" s="9">
        <v>1.0</v>
      </c>
      <c r="G78" s="9">
        <v>0.0</v>
      </c>
      <c r="H78" s="9">
        <f t="shared" si="9"/>
        <v>-1</v>
      </c>
      <c r="I78" s="9" t="s">
        <v>30</v>
      </c>
      <c r="J78" s="10" t="s">
        <v>214</v>
      </c>
    </row>
    <row r="79" ht="15.75" customHeight="1">
      <c r="A79" s="9">
        <v>3.0</v>
      </c>
      <c r="B79" s="9" t="s">
        <v>215</v>
      </c>
      <c r="C79" s="10" t="s">
        <v>216</v>
      </c>
      <c r="D79" s="9" t="s">
        <v>70</v>
      </c>
      <c r="E79" s="9" t="s">
        <v>40</v>
      </c>
      <c r="F79" s="9">
        <v>3.0</v>
      </c>
      <c r="G79" s="9">
        <v>1.0</v>
      </c>
      <c r="H79" s="9">
        <f t="shared" si="9"/>
        <v>-2</v>
      </c>
      <c r="I79" s="9" t="s">
        <v>30</v>
      </c>
      <c r="J79" s="10"/>
    </row>
    <row r="80" ht="15.75" customHeight="1">
      <c r="A80" s="9">
        <v>3.0</v>
      </c>
      <c r="B80" s="9" t="s">
        <v>217</v>
      </c>
      <c r="C80" s="10" t="s">
        <v>218</v>
      </c>
      <c r="D80" s="9" t="s">
        <v>70</v>
      </c>
      <c r="E80" s="9" t="s">
        <v>40</v>
      </c>
      <c r="F80" s="9">
        <v>4.0</v>
      </c>
      <c r="G80" s="9">
        <v>3.0</v>
      </c>
      <c r="H80" s="9">
        <f t="shared" si="9"/>
        <v>-1</v>
      </c>
      <c r="I80" s="9" t="s">
        <v>30</v>
      </c>
      <c r="J80" s="10"/>
    </row>
    <row r="81" ht="15.75" customHeight="1">
      <c r="A81" s="9">
        <v>3.0</v>
      </c>
      <c r="B81" s="9" t="s">
        <v>219</v>
      </c>
      <c r="C81" s="10" t="s">
        <v>220</v>
      </c>
      <c r="D81" s="9" t="s">
        <v>28</v>
      </c>
      <c r="E81" s="9" t="s">
        <v>40</v>
      </c>
      <c r="F81" s="9">
        <v>1.0</v>
      </c>
      <c r="G81" s="9">
        <v>0.0</v>
      </c>
      <c r="H81" s="9">
        <f t="shared" si="9"/>
        <v>-1</v>
      </c>
      <c r="I81" s="9" t="s">
        <v>30</v>
      </c>
      <c r="J81" s="10"/>
    </row>
    <row r="82" ht="15.75" customHeight="1">
      <c r="A82" s="9">
        <v>3.0</v>
      </c>
      <c r="B82" s="9" t="s">
        <v>221</v>
      </c>
      <c r="C82" s="10" t="s">
        <v>222</v>
      </c>
      <c r="D82" s="9" t="s">
        <v>39</v>
      </c>
      <c r="E82" s="9" t="s">
        <v>40</v>
      </c>
      <c r="F82" s="9">
        <v>2.0</v>
      </c>
      <c r="G82" s="9">
        <v>2.0</v>
      </c>
      <c r="H82" s="9">
        <f t="shared" si="9"/>
        <v>0</v>
      </c>
      <c r="I82" s="9" t="s">
        <v>30</v>
      </c>
      <c r="J82" s="10"/>
    </row>
    <row r="83" ht="15.75" customHeight="1">
      <c r="A83" s="9">
        <v>3.0</v>
      </c>
      <c r="B83" s="9" t="s">
        <v>223</v>
      </c>
      <c r="C83" s="10" t="s">
        <v>224</v>
      </c>
      <c r="D83" s="9" t="s">
        <v>39</v>
      </c>
      <c r="E83" s="9" t="s">
        <v>40</v>
      </c>
      <c r="F83" s="9">
        <v>1.0</v>
      </c>
      <c r="G83" s="9">
        <v>2.0</v>
      </c>
      <c r="H83" s="9">
        <f t="shared" si="9"/>
        <v>1</v>
      </c>
      <c r="I83" s="9" t="s">
        <v>30</v>
      </c>
      <c r="J83" s="10"/>
    </row>
    <row r="84" ht="15.75" customHeight="1">
      <c r="A84" s="9">
        <v>3.0</v>
      </c>
      <c r="B84" s="9" t="s">
        <v>225</v>
      </c>
      <c r="C84" s="10" t="s">
        <v>226</v>
      </c>
      <c r="D84" s="9" t="s">
        <v>28</v>
      </c>
      <c r="E84" s="9" t="s">
        <v>40</v>
      </c>
      <c r="F84" s="9">
        <v>1.0</v>
      </c>
      <c r="G84" s="9">
        <v>4.0</v>
      </c>
      <c r="H84" s="9">
        <f t="shared" si="9"/>
        <v>3</v>
      </c>
      <c r="I84" s="9" t="s">
        <v>30</v>
      </c>
      <c r="J84" s="10"/>
    </row>
    <row r="85" ht="15.75" customHeight="1">
      <c r="A85" s="9">
        <v>3.0</v>
      </c>
      <c r="B85" s="9" t="s">
        <v>227</v>
      </c>
      <c r="C85" s="10" t="s">
        <v>228</v>
      </c>
      <c r="D85" s="9" t="s">
        <v>28</v>
      </c>
      <c r="E85" s="9" t="s">
        <v>40</v>
      </c>
      <c r="F85" s="9">
        <v>1.0</v>
      </c>
      <c r="G85" s="9">
        <v>2.0</v>
      </c>
      <c r="H85" s="9">
        <f t="shared" si="9"/>
        <v>1</v>
      </c>
      <c r="I85" s="9" t="s">
        <v>30</v>
      </c>
      <c r="J85" s="10"/>
    </row>
    <row r="86" ht="15.75" customHeight="1">
      <c r="A86" s="9">
        <v>3.0</v>
      </c>
      <c r="B86" s="9" t="s">
        <v>229</v>
      </c>
      <c r="C86" s="10" t="s">
        <v>230</v>
      </c>
      <c r="D86" s="9" t="s">
        <v>28</v>
      </c>
      <c r="E86" s="9" t="s">
        <v>40</v>
      </c>
      <c r="F86" s="9">
        <v>2.0</v>
      </c>
      <c r="G86" s="9">
        <v>2.0</v>
      </c>
      <c r="H86" s="9">
        <f t="shared" si="9"/>
        <v>0</v>
      </c>
      <c r="I86" s="9" t="s">
        <v>30</v>
      </c>
      <c r="J86" s="10"/>
    </row>
    <row r="87" ht="15.75" customHeight="1">
      <c r="A87" s="9">
        <v>3.0</v>
      </c>
      <c r="B87" s="9" t="s">
        <v>231</v>
      </c>
      <c r="C87" s="10" t="s">
        <v>232</v>
      </c>
      <c r="D87" s="9" t="s">
        <v>28</v>
      </c>
      <c r="E87" s="9" t="s">
        <v>40</v>
      </c>
      <c r="F87" s="9">
        <v>3.0</v>
      </c>
      <c r="G87" s="9">
        <v>2.0</v>
      </c>
      <c r="H87" s="9">
        <f t="shared" si="9"/>
        <v>-1</v>
      </c>
      <c r="I87" s="9" t="s">
        <v>30</v>
      </c>
      <c r="J87" s="10"/>
    </row>
    <row r="88" ht="15.75" customHeight="1">
      <c r="A88" s="9">
        <v>3.0</v>
      </c>
      <c r="B88" s="9" t="s">
        <v>233</v>
      </c>
      <c r="C88" s="10" t="s">
        <v>234</v>
      </c>
      <c r="D88" s="9" t="s">
        <v>28</v>
      </c>
      <c r="E88" s="9" t="s">
        <v>40</v>
      </c>
      <c r="F88" s="9">
        <v>5.0</v>
      </c>
      <c r="G88" s="9">
        <v>0.0</v>
      </c>
      <c r="H88" s="9">
        <f t="shared" si="9"/>
        <v>-5</v>
      </c>
      <c r="I88" s="9" t="s">
        <v>30</v>
      </c>
      <c r="J88" s="10"/>
    </row>
    <row r="89" ht="15.75" customHeight="1">
      <c r="A89" s="9">
        <v>3.0</v>
      </c>
      <c r="B89" s="9" t="s">
        <v>235</v>
      </c>
      <c r="C89" s="10" t="s">
        <v>236</v>
      </c>
      <c r="D89" s="9" t="s">
        <v>28</v>
      </c>
      <c r="E89" s="9" t="s">
        <v>40</v>
      </c>
      <c r="F89" s="9">
        <v>7.0</v>
      </c>
      <c r="G89" s="9">
        <v>6.0</v>
      </c>
      <c r="H89" s="9">
        <f t="shared" si="9"/>
        <v>-1</v>
      </c>
      <c r="I89" s="9" t="s">
        <v>30</v>
      </c>
      <c r="J89" s="10"/>
    </row>
    <row r="90" ht="15.75" customHeight="1">
      <c r="A90" s="9">
        <v>4.0</v>
      </c>
      <c r="B90" s="9" t="s">
        <v>237</v>
      </c>
      <c r="C90" s="10" t="s">
        <v>238</v>
      </c>
      <c r="D90" s="9" t="s">
        <v>28</v>
      </c>
      <c r="E90" s="9" t="s">
        <v>40</v>
      </c>
      <c r="F90" s="9">
        <v>1.0</v>
      </c>
      <c r="G90" s="9">
        <v>1.0</v>
      </c>
      <c r="H90" s="9">
        <f t="shared" si="9"/>
        <v>0</v>
      </c>
      <c r="I90" s="9" t="s">
        <v>30</v>
      </c>
      <c r="J90" s="10"/>
    </row>
    <row r="91" ht="15.75" customHeight="1">
      <c r="A91" s="9">
        <v>4.0</v>
      </c>
      <c r="B91" s="9" t="s">
        <v>239</v>
      </c>
      <c r="C91" s="10" t="s">
        <v>240</v>
      </c>
      <c r="D91" s="9" t="s">
        <v>28</v>
      </c>
      <c r="E91" s="9" t="s">
        <v>40</v>
      </c>
      <c r="F91" s="9">
        <v>2.0</v>
      </c>
      <c r="G91" s="9">
        <v>2.0</v>
      </c>
      <c r="H91" s="9">
        <f t="shared" si="9"/>
        <v>0</v>
      </c>
      <c r="I91" s="9" t="s">
        <v>30</v>
      </c>
      <c r="J91" s="10"/>
    </row>
    <row r="92" ht="15.75" customHeight="1">
      <c r="A92" s="9">
        <v>4.0</v>
      </c>
      <c r="B92" s="9" t="s">
        <v>241</v>
      </c>
      <c r="C92" s="10" t="s">
        <v>242</v>
      </c>
      <c r="D92" s="9" t="s">
        <v>28</v>
      </c>
      <c r="E92" s="9" t="s">
        <v>40</v>
      </c>
      <c r="F92" s="9">
        <v>4.0</v>
      </c>
      <c r="G92" s="9">
        <v>1.0</v>
      </c>
      <c r="H92" s="9">
        <f t="shared" si="9"/>
        <v>-3</v>
      </c>
      <c r="I92" s="9" t="s">
        <v>30</v>
      </c>
      <c r="J92" s="10"/>
    </row>
    <row r="93" ht="15.75" customHeight="1">
      <c r="A93" s="9">
        <v>4.0</v>
      </c>
      <c r="B93" s="9" t="s">
        <v>243</v>
      </c>
      <c r="C93" s="10" t="s">
        <v>244</v>
      </c>
      <c r="D93" s="9" t="s">
        <v>70</v>
      </c>
      <c r="E93" s="9" t="s">
        <v>40</v>
      </c>
      <c r="F93" s="9">
        <v>2.0</v>
      </c>
      <c r="G93" s="9">
        <v>2.0</v>
      </c>
      <c r="H93" s="9">
        <f t="shared" si="9"/>
        <v>0</v>
      </c>
      <c r="I93" s="9" t="s">
        <v>30</v>
      </c>
      <c r="J93" s="10"/>
    </row>
    <row r="94" ht="15.75" customHeight="1">
      <c r="A94" s="9">
        <v>4.0</v>
      </c>
      <c r="B94" s="9" t="s">
        <v>245</v>
      </c>
      <c r="C94" s="10" t="s">
        <v>246</v>
      </c>
      <c r="D94" s="9" t="s">
        <v>28</v>
      </c>
      <c r="E94" s="9" t="s">
        <v>40</v>
      </c>
      <c r="F94" s="9">
        <v>3.0</v>
      </c>
      <c r="G94" s="9">
        <v>5.0</v>
      </c>
      <c r="H94" s="9">
        <f t="shared" si="9"/>
        <v>2</v>
      </c>
      <c r="I94" s="9" t="s">
        <v>30</v>
      </c>
      <c r="J94" s="10"/>
    </row>
    <row r="95" ht="15.75" customHeight="1">
      <c r="A95" s="9">
        <v>4.0</v>
      </c>
      <c r="B95" s="9" t="s">
        <v>247</v>
      </c>
      <c r="C95" s="10" t="s">
        <v>248</v>
      </c>
      <c r="D95" s="9" t="s">
        <v>70</v>
      </c>
      <c r="E95" s="9" t="s">
        <v>40</v>
      </c>
      <c r="F95" s="9">
        <v>12.0</v>
      </c>
      <c r="G95" s="9">
        <v>8.0</v>
      </c>
      <c r="H95" s="9">
        <f t="shared" si="9"/>
        <v>-4</v>
      </c>
      <c r="I95" s="9" t="s">
        <v>30</v>
      </c>
      <c r="J95" s="10"/>
    </row>
    <row r="96" ht="15.75" customHeight="1">
      <c r="A96" s="9">
        <v>4.0</v>
      </c>
      <c r="B96" s="9" t="s">
        <v>249</v>
      </c>
      <c r="C96" s="10" t="s">
        <v>250</v>
      </c>
      <c r="D96" s="9" t="s">
        <v>39</v>
      </c>
      <c r="E96" s="9" t="s">
        <v>40</v>
      </c>
      <c r="F96" s="9">
        <v>1.0</v>
      </c>
      <c r="G96" s="9">
        <v>2.0</v>
      </c>
      <c r="H96" s="9">
        <f t="shared" si="9"/>
        <v>1</v>
      </c>
      <c r="I96" s="9" t="s">
        <v>30</v>
      </c>
      <c r="J96" s="10"/>
    </row>
    <row r="97" ht="15.75" customHeight="1">
      <c r="A97" s="11">
        <v>4.0</v>
      </c>
      <c r="B97" s="11" t="s">
        <v>251</v>
      </c>
      <c r="C97" s="12" t="s">
        <v>252</v>
      </c>
      <c r="D97" s="11" t="s">
        <v>70</v>
      </c>
      <c r="E97" s="11" t="s">
        <v>40</v>
      </c>
      <c r="F97" s="11">
        <v>4.0</v>
      </c>
      <c r="G97" s="11" t="s">
        <v>34</v>
      </c>
      <c r="H97" s="11" t="s">
        <v>34</v>
      </c>
      <c r="I97" s="11" t="s">
        <v>35</v>
      </c>
      <c r="J97" s="12" t="s">
        <v>55</v>
      </c>
    </row>
    <row r="98" ht="15.75" customHeight="1">
      <c r="A98" s="9">
        <v>4.0</v>
      </c>
      <c r="B98" s="9" t="s">
        <v>253</v>
      </c>
      <c r="C98" s="10" t="s">
        <v>254</v>
      </c>
      <c r="D98" s="9" t="s">
        <v>70</v>
      </c>
      <c r="E98" s="9" t="s">
        <v>29</v>
      </c>
      <c r="F98" s="9">
        <v>0.68</v>
      </c>
      <c r="G98" s="9">
        <v>0.68</v>
      </c>
      <c r="H98" s="9">
        <f>G98-F98</f>
        <v>0</v>
      </c>
      <c r="I98" s="9" t="s">
        <v>30</v>
      </c>
      <c r="J98" s="10"/>
    </row>
    <row r="99" ht="15.75" customHeight="1">
      <c r="A99" s="13">
        <v>4.0</v>
      </c>
      <c r="B99" s="13" t="s">
        <v>255</v>
      </c>
      <c r="C99" s="14" t="s">
        <v>256</v>
      </c>
      <c r="D99" s="13" t="s">
        <v>70</v>
      </c>
      <c r="E99" s="13" t="s">
        <v>29</v>
      </c>
      <c r="F99" s="13">
        <v>3.52</v>
      </c>
      <c r="G99" s="13">
        <v>3.524</v>
      </c>
      <c r="H99" s="15">
        <v>3.0</v>
      </c>
      <c r="I99" s="13" t="s">
        <v>147</v>
      </c>
      <c r="J99" s="14" t="s">
        <v>257</v>
      </c>
    </row>
    <row r="100" ht="15.75" customHeight="1">
      <c r="A100" s="9">
        <v>4.0</v>
      </c>
      <c r="B100" s="9" t="s">
        <v>258</v>
      </c>
      <c r="C100" s="10" t="s">
        <v>259</v>
      </c>
      <c r="D100" s="9" t="s">
        <v>28</v>
      </c>
      <c r="E100" s="9" t="s">
        <v>40</v>
      </c>
      <c r="F100" s="9">
        <v>12.0</v>
      </c>
      <c r="G100" s="9">
        <v>16.0</v>
      </c>
      <c r="H100" s="9">
        <f t="shared" ref="H100:H110" si="10">G100-F100</f>
        <v>4</v>
      </c>
      <c r="I100" s="9" t="s">
        <v>30</v>
      </c>
      <c r="J100" s="10"/>
    </row>
    <row r="101" ht="15.75" customHeight="1">
      <c r="A101" s="9">
        <v>4.0</v>
      </c>
      <c r="B101" s="9" t="s">
        <v>260</v>
      </c>
      <c r="C101" s="10" t="s">
        <v>261</v>
      </c>
      <c r="D101" s="9" t="s">
        <v>28</v>
      </c>
      <c r="E101" s="9" t="s">
        <v>40</v>
      </c>
      <c r="F101" s="9">
        <v>206.0</v>
      </c>
      <c r="G101" s="9">
        <v>191.0</v>
      </c>
      <c r="H101" s="9">
        <f t="shared" si="10"/>
        <v>-15</v>
      </c>
      <c r="I101" s="9" t="s">
        <v>30</v>
      </c>
      <c r="J101" s="10"/>
    </row>
    <row r="102" ht="15.75" customHeight="1">
      <c r="A102" s="9">
        <v>4.0</v>
      </c>
      <c r="B102" s="9" t="s">
        <v>262</v>
      </c>
      <c r="C102" s="10" t="s">
        <v>263</v>
      </c>
      <c r="D102" s="9" t="s">
        <v>28</v>
      </c>
      <c r="E102" s="9" t="s">
        <v>40</v>
      </c>
      <c r="F102" s="9">
        <v>12.0</v>
      </c>
      <c r="G102" s="9">
        <v>4.0</v>
      </c>
      <c r="H102" s="9">
        <f t="shared" si="10"/>
        <v>-8</v>
      </c>
      <c r="I102" s="9" t="s">
        <v>30</v>
      </c>
      <c r="J102" s="10"/>
    </row>
    <row r="103" ht="15.75" customHeight="1">
      <c r="A103" s="9">
        <v>4.0</v>
      </c>
      <c r="B103" s="9" t="s">
        <v>264</v>
      </c>
      <c r="C103" s="10" t="s">
        <v>265</v>
      </c>
      <c r="D103" s="9" t="s">
        <v>28</v>
      </c>
      <c r="E103" s="9" t="s">
        <v>40</v>
      </c>
      <c r="F103" s="9">
        <v>1.0</v>
      </c>
      <c r="G103" s="9">
        <v>1.0</v>
      </c>
      <c r="H103" s="9">
        <f t="shared" si="10"/>
        <v>0</v>
      </c>
      <c r="I103" s="9" t="s">
        <v>30</v>
      </c>
      <c r="J103" s="10"/>
    </row>
    <row r="104" ht="15.75" customHeight="1">
      <c r="A104" s="9">
        <v>4.0</v>
      </c>
      <c r="B104" s="9" t="s">
        <v>266</v>
      </c>
      <c r="C104" s="10" t="s">
        <v>267</v>
      </c>
      <c r="D104" s="9" t="s">
        <v>28</v>
      </c>
      <c r="E104" s="9" t="s">
        <v>40</v>
      </c>
      <c r="F104" s="9">
        <v>2.0</v>
      </c>
      <c r="G104" s="9">
        <v>4.0</v>
      </c>
      <c r="H104" s="9">
        <f t="shared" si="10"/>
        <v>2</v>
      </c>
      <c r="I104" s="9" t="s">
        <v>30</v>
      </c>
      <c r="J104" s="10"/>
    </row>
    <row r="105" ht="15.75" customHeight="1">
      <c r="A105" s="9">
        <v>4.0</v>
      </c>
      <c r="B105" s="9" t="s">
        <v>268</v>
      </c>
      <c r="C105" s="10" t="s">
        <v>269</v>
      </c>
      <c r="D105" s="9" t="s">
        <v>28</v>
      </c>
      <c r="E105" s="9" t="s">
        <v>40</v>
      </c>
      <c r="F105" s="9">
        <v>9.0</v>
      </c>
      <c r="G105" s="9">
        <v>2.0</v>
      </c>
      <c r="H105" s="9">
        <f t="shared" si="10"/>
        <v>-7</v>
      </c>
      <c r="I105" s="9" t="s">
        <v>30</v>
      </c>
      <c r="J105" s="10"/>
    </row>
    <row r="106" ht="15.75" customHeight="1">
      <c r="A106" s="9">
        <v>4.0</v>
      </c>
      <c r="B106" s="9" t="s">
        <v>270</v>
      </c>
      <c r="C106" s="10" t="s">
        <v>271</v>
      </c>
      <c r="D106" s="9" t="s">
        <v>28</v>
      </c>
      <c r="E106" s="9" t="s">
        <v>40</v>
      </c>
      <c r="F106" s="9">
        <v>1.0</v>
      </c>
      <c r="G106" s="9">
        <v>1.0</v>
      </c>
      <c r="H106" s="9">
        <f t="shared" si="10"/>
        <v>0</v>
      </c>
      <c r="I106" s="9" t="s">
        <v>30</v>
      </c>
      <c r="J106" s="10"/>
    </row>
    <row r="107" ht="15.75" customHeight="1">
      <c r="A107" s="9">
        <v>4.0</v>
      </c>
      <c r="B107" s="9" t="s">
        <v>272</v>
      </c>
      <c r="C107" s="10" t="s">
        <v>273</v>
      </c>
      <c r="D107" s="9" t="s">
        <v>28</v>
      </c>
      <c r="E107" s="9" t="s">
        <v>40</v>
      </c>
      <c r="F107" s="9">
        <v>1.0</v>
      </c>
      <c r="G107" s="9">
        <v>1.0</v>
      </c>
      <c r="H107" s="9">
        <f t="shared" si="10"/>
        <v>0</v>
      </c>
      <c r="I107" s="9" t="s">
        <v>30</v>
      </c>
      <c r="J107" s="10"/>
    </row>
    <row r="108" ht="15.75" customHeight="1">
      <c r="A108" s="9">
        <v>4.0</v>
      </c>
      <c r="B108" s="9" t="s">
        <v>274</v>
      </c>
      <c r="C108" s="10" t="s">
        <v>275</v>
      </c>
      <c r="D108" s="9" t="s">
        <v>70</v>
      </c>
      <c r="E108" s="9" t="s">
        <v>40</v>
      </c>
      <c r="F108" s="9">
        <v>4.0</v>
      </c>
      <c r="G108" s="9">
        <v>5.0</v>
      </c>
      <c r="H108" s="9">
        <f t="shared" si="10"/>
        <v>1</v>
      </c>
      <c r="I108" s="9" t="s">
        <v>30</v>
      </c>
      <c r="J108" s="10"/>
    </row>
    <row r="109" ht="15.75" customHeight="1">
      <c r="A109" s="9">
        <v>4.0</v>
      </c>
      <c r="B109" s="9" t="s">
        <v>276</v>
      </c>
      <c r="C109" s="10" t="s">
        <v>277</v>
      </c>
      <c r="D109" s="9" t="s">
        <v>28</v>
      </c>
      <c r="E109" s="9" t="s">
        <v>29</v>
      </c>
      <c r="F109" s="9">
        <v>3.0</v>
      </c>
      <c r="G109" s="9">
        <v>7.0</v>
      </c>
      <c r="H109" s="9">
        <f t="shared" si="10"/>
        <v>4</v>
      </c>
      <c r="I109" s="9" t="s">
        <v>30</v>
      </c>
      <c r="J109" s="10"/>
    </row>
    <row r="110" ht="15.75" customHeight="1">
      <c r="A110" s="9">
        <v>4.0</v>
      </c>
      <c r="B110" s="9" t="s">
        <v>278</v>
      </c>
      <c r="C110" s="10" t="s">
        <v>279</v>
      </c>
      <c r="D110" s="9" t="s">
        <v>28</v>
      </c>
      <c r="E110" s="9" t="s">
        <v>29</v>
      </c>
      <c r="F110" s="9">
        <v>1.0</v>
      </c>
      <c r="G110" s="9">
        <v>1.0</v>
      </c>
      <c r="H110" s="9">
        <f t="shared" si="10"/>
        <v>0</v>
      </c>
      <c r="I110" s="9" t="s">
        <v>30</v>
      </c>
      <c r="J110" s="10"/>
    </row>
    <row r="111" ht="15.75" customHeight="1">
      <c r="A111" s="13">
        <v>4.0</v>
      </c>
      <c r="B111" s="13" t="s">
        <v>280</v>
      </c>
      <c r="C111" s="14" t="s">
        <v>281</v>
      </c>
      <c r="D111" s="13" t="s">
        <v>28</v>
      </c>
      <c r="E111" s="13" t="s">
        <v>29</v>
      </c>
      <c r="F111" s="13">
        <v>2.0</v>
      </c>
      <c r="G111" s="13">
        <v>1.0</v>
      </c>
      <c r="H111" s="15">
        <v>1.0</v>
      </c>
      <c r="I111" s="13" t="s">
        <v>147</v>
      </c>
      <c r="J111" s="14" t="s">
        <v>282</v>
      </c>
    </row>
    <row r="112" ht="15.75" customHeight="1">
      <c r="A112" s="9">
        <v>4.0</v>
      </c>
      <c r="B112" s="9" t="s">
        <v>283</v>
      </c>
      <c r="C112" s="10" t="s">
        <v>284</v>
      </c>
      <c r="D112" s="9" t="s">
        <v>28</v>
      </c>
      <c r="E112" s="9" t="s">
        <v>29</v>
      </c>
      <c r="F112" s="9">
        <v>7.0</v>
      </c>
      <c r="G112" s="9">
        <v>0.0</v>
      </c>
      <c r="H112" s="9">
        <f>G112-F112</f>
        <v>-7</v>
      </c>
      <c r="I112" s="9" t="s">
        <v>30</v>
      </c>
      <c r="J112" s="10"/>
    </row>
    <row r="113" ht="15.75" customHeight="1">
      <c r="A113" s="11">
        <v>5.0</v>
      </c>
      <c r="B113" s="11" t="s">
        <v>285</v>
      </c>
      <c r="C113" s="12" t="s">
        <v>286</v>
      </c>
      <c r="D113" s="11" t="s">
        <v>28</v>
      </c>
      <c r="E113" s="11" t="s">
        <v>29</v>
      </c>
      <c r="F113" s="11" t="s">
        <v>34</v>
      </c>
      <c r="G113" s="11" t="s">
        <v>34</v>
      </c>
      <c r="H113" s="11" t="s">
        <v>34</v>
      </c>
      <c r="I113" s="11" t="s">
        <v>35</v>
      </c>
      <c r="J113" s="12" t="s">
        <v>287</v>
      </c>
    </row>
    <row r="114" ht="15.75" customHeight="1">
      <c r="A114" s="13">
        <v>5.0</v>
      </c>
      <c r="B114" s="13" t="s">
        <v>288</v>
      </c>
      <c r="C114" s="14" t="s">
        <v>289</v>
      </c>
      <c r="D114" s="13" t="s">
        <v>28</v>
      </c>
      <c r="E114" s="13" t="s">
        <v>29</v>
      </c>
      <c r="F114" s="13" t="s">
        <v>34</v>
      </c>
      <c r="G114" s="13">
        <v>1.0</v>
      </c>
      <c r="H114" s="15">
        <v>4.0</v>
      </c>
      <c r="I114" s="13" t="s">
        <v>147</v>
      </c>
      <c r="J114" s="14" t="s">
        <v>290</v>
      </c>
    </row>
    <row r="115" ht="15.75" customHeight="1">
      <c r="A115" s="13">
        <v>5.0</v>
      </c>
      <c r="B115" s="13" t="s">
        <v>291</v>
      </c>
      <c r="C115" s="14" t="s">
        <v>292</v>
      </c>
      <c r="D115" s="13" t="s">
        <v>28</v>
      </c>
      <c r="E115" s="13" t="s">
        <v>29</v>
      </c>
      <c r="F115" s="13" t="s">
        <v>34</v>
      </c>
      <c r="G115" s="13">
        <v>7.0</v>
      </c>
      <c r="H115" s="15">
        <v>7.0</v>
      </c>
      <c r="I115" s="13" t="s">
        <v>147</v>
      </c>
      <c r="J115" s="14" t="s">
        <v>290</v>
      </c>
    </row>
    <row r="116" ht="15.75" customHeight="1">
      <c r="A116" s="11">
        <v>5.0</v>
      </c>
      <c r="B116" s="11" t="s">
        <v>293</v>
      </c>
      <c r="C116" s="12" t="s">
        <v>294</v>
      </c>
      <c r="D116" s="11" t="s">
        <v>28</v>
      </c>
      <c r="E116" s="11" t="s">
        <v>29</v>
      </c>
      <c r="F116" s="11" t="s">
        <v>34</v>
      </c>
      <c r="G116" s="11" t="s">
        <v>34</v>
      </c>
      <c r="H116" s="11" t="s">
        <v>34</v>
      </c>
      <c r="I116" s="11" t="s">
        <v>35</v>
      </c>
      <c r="J116" s="12" t="s">
        <v>295</v>
      </c>
    </row>
    <row r="117" ht="15.75" customHeight="1">
      <c r="A117" s="13">
        <v>5.0</v>
      </c>
      <c r="B117" s="13" t="s">
        <v>296</v>
      </c>
      <c r="C117" s="14" t="s">
        <v>297</v>
      </c>
      <c r="D117" s="13" t="s">
        <v>28</v>
      </c>
      <c r="E117" s="13" t="s">
        <v>29</v>
      </c>
      <c r="F117" s="13" t="s">
        <v>34</v>
      </c>
      <c r="G117" s="13">
        <v>0.0</v>
      </c>
      <c r="H117" s="15">
        <v>0.0</v>
      </c>
      <c r="I117" s="13" t="s">
        <v>147</v>
      </c>
      <c r="J117" s="14" t="s">
        <v>298</v>
      </c>
    </row>
    <row r="118" ht="15.75" customHeight="1">
      <c r="A118" s="9">
        <v>5.0</v>
      </c>
      <c r="B118" s="9" t="s">
        <v>299</v>
      </c>
      <c r="C118" s="10" t="s">
        <v>300</v>
      </c>
      <c r="D118" s="9" t="s">
        <v>28</v>
      </c>
      <c r="E118" s="9" t="s">
        <v>29</v>
      </c>
      <c r="F118" s="9">
        <v>2.0</v>
      </c>
      <c r="G118" s="9">
        <v>0.0</v>
      </c>
      <c r="H118" s="9">
        <f>G118-F118</f>
        <v>-2</v>
      </c>
      <c r="I118" s="9" t="s">
        <v>30</v>
      </c>
      <c r="J118" s="10" t="s">
        <v>301</v>
      </c>
    </row>
    <row r="119" ht="15.75" customHeight="1">
      <c r="A119" s="13">
        <v>5.0</v>
      </c>
      <c r="B119" s="13" t="s">
        <v>302</v>
      </c>
      <c r="C119" s="14" t="s">
        <v>303</v>
      </c>
      <c r="D119" s="13" t="s">
        <v>28</v>
      </c>
      <c r="E119" s="13" t="s">
        <v>29</v>
      </c>
      <c r="F119" s="13">
        <v>28.3</v>
      </c>
      <c r="G119" s="13">
        <v>33.0</v>
      </c>
      <c r="H119" s="15">
        <v>13.0</v>
      </c>
      <c r="I119" s="13" t="s">
        <v>147</v>
      </c>
      <c r="J119" s="14" t="s">
        <v>304</v>
      </c>
    </row>
    <row r="120" ht="15.75" customHeight="1">
      <c r="A120" s="9">
        <v>5.0</v>
      </c>
      <c r="B120" s="9" t="s">
        <v>305</v>
      </c>
      <c r="C120" s="10" t="s">
        <v>306</v>
      </c>
      <c r="D120" s="9" t="s">
        <v>28</v>
      </c>
      <c r="E120" s="9" t="s">
        <v>29</v>
      </c>
      <c r="F120" s="9">
        <v>3.0</v>
      </c>
      <c r="G120" s="9">
        <v>3.0</v>
      </c>
      <c r="H120" s="9">
        <f t="shared" ref="H120:H121" si="11">G120-F120</f>
        <v>0</v>
      </c>
      <c r="I120" s="9" t="s">
        <v>30</v>
      </c>
      <c r="J120" s="10"/>
    </row>
    <row r="121" ht="15.75" customHeight="1">
      <c r="A121" s="9">
        <v>5.0</v>
      </c>
      <c r="B121" s="9" t="s">
        <v>307</v>
      </c>
      <c r="C121" s="10" t="s">
        <v>308</v>
      </c>
      <c r="D121" s="9" t="s">
        <v>28</v>
      </c>
      <c r="E121" s="9" t="s">
        <v>29</v>
      </c>
      <c r="F121" s="9">
        <v>10.0</v>
      </c>
      <c r="G121" s="9">
        <v>3.0</v>
      </c>
      <c r="H121" s="9">
        <f t="shared" si="11"/>
        <v>-7</v>
      </c>
      <c r="I121" s="9" t="s">
        <v>30</v>
      </c>
      <c r="J121" s="10"/>
    </row>
    <row r="122" ht="15.75" customHeight="1">
      <c r="A122" s="11">
        <v>5.0</v>
      </c>
      <c r="B122" s="11" t="s">
        <v>309</v>
      </c>
      <c r="C122" s="12" t="s">
        <v>310</v>
      </c>
      <c r="D122" s="11" t="s">
        <v>28</v>
      </c>
      <c r="E122" s="11" t="s">
        <v>40</v>
      </c>
      <c r="F122" s="11" t="s">
        <v>34</v>
      </c>
      <c r="G122" s="11" t="s">
        <v>34</v>
      </c>
      <c r="H122" s="11" t="s">
        <v>34</v>
      </c>
      <c r="I122" s="11" t="s">
        <v>35</v>
      </c>
      <c r="J122" s="12" t="s">
        <v>295</v>
      </c>
    </row>
    <row r="123" ht="15.75" customHeight="1">
      <c r="A123" s="9">
        <v>5.0</v>
      </c>
      <c r="B123" s="9" t="s">
        <v>311</v>
      </c>
      <c r="C123" s="10" t="s">
        <v>312</v>
      </c>
      <c r="D123" s="9" t="s">
        <v>28</v>
      </c>
      <c r="E123" s="9" t="s">
        <v>40</v>
      </c>
      <c r="F123" s="9">
        <v>4.0</v>
      </c>
      <c r="G123" s="9">
        <v>3.0</v>
      </c>
      <c r="H123" s="9">
        <f t="shared" ref="H123:H126" si="12">G123-F123</f>
        <v>-1</v>
      </c>
      <c r="I123" s="9" t="s">
        <v>30</v>
      </c>
      <c r="J123" s="10"/>
    </row>
    <row r="124" ht="15.75" customHeight="1">
      <c r="A124" s="9">
        <v>5.0</v>
      </c>
      <c r="B124" s="9" t="s">
        <v>313</v>
      </c>
      <c r="C124" s="10" t="s">
        <v>314</v>
      </c>
      <c r="D124" s="9" t="s">
        <v>28</v>
      </c>
      <c r="E124" s="9" t="s">
        <v>40</v>
      </c>
      <c r="F124" s="9">
        <v>1.0</v>
      </c>
      <c r="G124" s="9">
        <v>6.0</v>
      </c>
      <c r="H124" s="9">
        <f t="shared" si="12"/>
        <v>5</v>
      </c>
      <c r="I124" s="9" t="s">
        <v>30</v>
      </c>
      <c r="J124" s="10"/>
    </row>
    <row r="125" ht="15.75" customHeight="1">
      <c r="A125" s="9">
        <v>5.0</v>
      </c>
      <c r="B125" s="9" t="s">
        <v>315</v>
      </c>
      <c r="C125" s="10" t="s">
        <v>316</v>
      </c>
      <c r="D125" s="9" t="s">
        <v>28</v>
      </c>
      <c r="E125" s="9" t="s">
        <v>40</v>
      </c>
      <c r="F125" s="9">
        <v>1.0</v>
      </c>
      <c r="G125" s="9">
        <v>0.0</v>
      </c>
      <c r="H125" s="9">
        <f t="shared" si="12"/>
        <v>-1</v>
      </c>
      <c r="I125" s="9" t="s">
        <v>30</v>
      </c>
      <c r="J125" s="10"/>
    </row>
    <row r="126" ht="15.75" customHeight="1">
      <c r="A126" s="9">
        <v>5.0</v>
      </c>
      <c r="B126" s="9" t="s">
        <v>317</v>
      </c>
      <c r="C126" s="10" t="s">
        <v>318</v>
      </c>
      <c r="D126" s="9" t="s">
        <v>28</v>
      </c>
      <c r="E126" s="9" t="s">
        <v>40</v>
      </c>
      <c r="F126" s="9">
        <v>2.0</v>
      </c>
      <c r="G126" s="9">
        <v>0.0</v>
      </c>
      <c r="H126" s="9">
        <f t="shared" si="12"/>
        <v>-2</v>
      </c>
      <c r="I126" s="9" t="s">
        <v>30</v>
      </c>
      <c r="J126" s="10"/>
    </row>
    <row r="127" ht="15.75" customHeight="1">
      <c r="A127" s="11">
        <v>5.0</v>
      </c>
      <c r="B127" s="11" t="s">
        <v>319</v>
      </c>
      <c r="C127" s="12" t="s">
        <v>320</v>
      </c>
      <c r="D127" s="11" t="s">
        <v>70</v>
      </c>
      <c r="E127" s="11" t="s">
        <v>40</v>
      </c>
      <c r="F127" s="11">
        <v>3.0</v>
      </c>
      <c r="G127" s="11" t="s">
        <v>34</v>
      </c>
      <c r="H127" s="11" t="s">
        <v>34</v>
      </c>
      <c r="I127" s="11" t="s">
        <v>35</v>
      </c>
      <c r="J127" s="12" t="s">
        <v>55</v>
      </c>
    </row>
    <row r="128" ht="15.75" customHeight="1">
      <c r="A128" s="9">
        <v>5.0</v>
      </c>
      <c r="B128" s="9" t="s">
        <v>321</v>
      </c>
      <c r="C128" s="10" t="s">
        <v>322</v>
      </c>
      <c r="D128" s="9" t="s">
        <v>28</v>
      </c>
      <c r="E128" s="9" t="s">
        <v>29</v>
      </c>
      <c r="F128" s="9">
        <v>9.0</v>
      </c>
      <c r="G128" s="9">
        <v>5.0</v>
      </c>
      <c r="H128" s="9">
        <f t="shared" ref="H128:H138" si="13">G128-F128</f>
        <v>-4</v>
      </c>
      <c r="I128" s="9" t="s">
        <v>30</v>
      </c>
      <c r="J128" s="10"/>
    </row>
    <row r="129" ht="15.75" customHeight="1">
      <c r="A129" s="9">
        <v>5.0</v>
      </c>
      <c r="B129" s="9" t="s">
        <v>323</v>
      </c>
      <c r="C129" s="10" t="s">
        <v>324</v>
      </c>
      <c r="D129" s="9" t="s">
        <v>28</v>
      </c>
      <c r="E129" s="9" t="s">
        <v>40</v>
      </c>
      <c r="F129" s="9">
        <v>4.0</v>
      </c>
      <c r="G129" s="9">
        <v>2.0</v>
      </c>
      <c r="H129" s="9">
        <f t="shared" si="13"/>
        <v>-2</v>
      </c>
      <c r="I129" s="9" t="s">
        <v>30</v>
      </c>
      <c r="J129" s="10"/>
    </row>
    <row r="130" ht="15.75" customHeight="1">
      <c r="A130" s="9">
        <v>5.0</v>
      </c>
      <c r="B130" s="9" t="s">
        <v>325</v>
      </c>
      <c r="C130" s="10" t="s">
        <v>326</v>
      </c>
      <c r="D130" s="9" t="s">
        <v>28</v>
      </c>
      <c r="E130" s="9" t="s">
        <v>29</v>
      </c>
      <c r="F130" s="9">
        <v>2.0</v>
      </c>
      <c r="G130" s="9">
        <v>2.0</v>
      </c>
      <c r="H130" s="9">
        <f t="shared" si="13"/>
        <v>0</v>
      </c>
      <c r="I130" s="9" t="s">
        <v>30</v>
      </c>
      <c r="J130" s="10"/>
    </row>
    <row r="131" ht="15.75" customHeight="1">
      <c r="A131" s="9">
        <v>5.0</v>
      </c>
      <c r="B131" s="9" t="s">
        <v>327</v>
      </c>
      <c r="C131" s="10" t="s">
        <v>328</v>
      </c>
      <c r="D131" s="9" t="s">
        <v>28</v>
      </c>
      <c r="E131" s="9" t="s">
        <v>40</v>
      </c>
      <c r="F131" s="9">
        <v>1.0</v>
      </c>
      <c r="G131" s="9">
        <v>1.0</v>
      </c>
      <c r="H131" s="9">
        <f t="shared" si="13"/>
        <v>0</v>
      </c>
      <c r="I131" s="9" t="s">
        <v>30</v>
      </c>
      <c r="J131" s="10"/>
    </row>
    <row r="132" ht="15.75" customHeight="1">
      <c r="A132" s="9">
        <v>5.0</v>
      </c>
      <c r="B132" s="9" t="s">
        <v>329</v>
      </c>
      <c r="C132" s="10" t="s">
        <v>330</v>
      </c>
      <c r="D132" s="9" t="s">
        <v>28</v>
      </c>
      <c r="E132" s="9" t="s">
        <v>29</v>
      </c>
      <c r="F132" s="9">
        <v>6.0</v>
      </c>
      <c r="G132" s="9">
        <v>6.0</v>
      </c>
      <c r="H132" s="9">
        <f t="shared" si="13"/>
        <v>0</v>
      </c>
      <c r="I132" s="9" t="s">
        <v>30</v>
      </c>
      <c r="J132" s="10"/>
    </row>
    <row r="133" ht="15.75" customHeight="1">
      <c r="A133" s="9">
        <v>5.0</v>
      </c>
      <c r="B133" s="9" t="s">
        <v>331</v>
      </c>
      <c r="C133" s="10" t="s">
        <v>332</v>
      </c>
      <c r="D133" s="9" t="s">
        <v>28</v>
      </c>
      <c r="E133" s="9" t="s">
        <v>29</v>
      </c>
      <c r="F133" s="9">
        <v>7.0</v>
      </c>
      <c r="G133" s="9">
        <v>7.0</v>
      </c>
      <c r="H133" s="9">
        <f t="shared" si="13"/>
        <v>0</v>
      </c>
      <c r="I133" s="9" t="s">
        <v>30</v>
      </c>
      <c r="J133" s="10"/>
    </row>
    <row r="134" ht="15.75" customHeight="1">
      <c r="A134" s="9">
        <v>5.0</v>
      </c>
      <c r="B134" s="9" t="s">
        <v>333</v>
      </c>
      <c r="C134" s="10" t="s">
        <v>334</v>
      </c>
      <c r="D134" s="9" t="s">
        <v>28</v>
      </c>
      <c r="E134" s="9" t="s">
        <v>40</v>
      </c>
      <c r="F134" s="9">
        <v>1.0</v>
      </c>
      <c r="G134" s="9">
        <v>0.0</v>
      </c>
      <c r="H134" s="9">
        <f t="shared" si="13"/>
        <v>-1</v>
      </c>
      <c r="I134" s="9" t="s">
        <v>30</v>
      </c>
      <c r="J134" s="10"/>
    </row>
    <row r="135" ht="15.75" customHeight="1">
      <c r="A135" s="9">
        <v>5.0</v>
      </c>
      <c r="B135" s="9" t="s">
        <v>335</v>
      </c>
      <c r="C135" s="10" t="s">
        <v>336</v>
      </c>
      <c r="D135" s="9" t="s">
        <v>28</v>
      </c>
      <c r="E135" s="9" t="s">
        <v>29</v>
      </c>
      <c r="F135" s="9">
        <v>2.0</v>
      </c>
      <c r="G135" s="9">
        <v>0.0</v>
      </c>
      <c r="H135" s="9">
        <f t="shared" si="13"/>
        <v>-2</v>
      </c>
      <c r="I135" s="9" t="s">
        <v>30</v>
      </c>
      <c r="J135" s="10"/>
    </row>
    <row r="136" ht="15.75" customHeight="1">
      <c r="A136" s="9">
        <v>5.0</v>
      </c>
      <c r="B136" s="9" t="s">
        <v>337</v>
      </c>
      <c r="C136" s="10" t="s">
        <v>338</v>
      </c>
      <c r="D136" s="9" t="s">
        <v>28</v>
      </c>
      <c r="E136" s="9" t="s">
        <v>40</v>
      </c>
      <c r="F136" s="9">
        <v>9.0</v>
      </c>
      <c r="G136" s="9">
        <v>5.0</v>
      </c>
      <c r="H136" s="9">
        <f t="shared" si="13"/>
        <v>-4</v>
      </c>
      <c r="I136" s="9" t="s">
        <v>30</v>
      </c>
      <c r="J136" s="10"/>
    </row>
    <row r="137" ht="15.75" customHeight="1">
      <c r="A137" s="9">
        <v>5.0</v>
      </c>
      <c r="B137" s="9" t="s">
        <v>339</v>
      </c>
      <c r="C137" s="10" t="s">
        <v>340</v>
      </c>
      <c r="D137" s="9" t="s">
        <v>28</v>
      </c>
      <c r="E137" s="9" t="s">
        <v>40</v>
      </c>
      <c r="F137" s="9">
        <v>1.0</v>
      </c>
      <c r="G137" s="9">
        <v>1.0</v>
      </c>
      <c r="H137" s="9">
        <f t="shared" si="13"/>
        <v>0</v>
      </c>
      <c r="I137" s="9" t="s">
        <v>30</v>
      </c>
      <c r="J137" s="10"/>
    </row>
    <row r="138" ht="15.75" customHeight="1">
      <c r="A138" s="9">
        <v>6.0</v>
      </c>
      <c r="B138" s="9" t="s">
        <v>341</v>
      </c>
      <c r="C138" s="10" t="s">
        <v>342</v>
      </c>
      <c r="D138" s="9" t="s">
        <v>28</v>
      </c>
      <c r="E138" s="9" t="s">
        <v>40</v>
      </c>
      <c r="F138" s="9">
        <v>13.0</v>
      </c>
      <c r="G138" s="9">
        <v>0.0</v>
      </c>
      <c r="H138" s="9">
        <f t="shared" si="13"/>
        <v>-13</v>
      </c>
      <c r="I138" s="9" t="s">
        <v>30</v>
      </c>
      <c r="J138" s="10"/>
    </row>
    <row r="139" ht="15.75" customHeight="1">
      <c r="A139" s="11">
        <v>6.0</v>
      </c>
      <c r="B139" s="11" t="s">
        <v>343</v>
      </c>
      <c r="C139" s="12" t="s">
        <v>344</v>
      </c>
      <c r="D139" s="11" t="s">
        <v>39</v>
      </c>
      <c r="E139" s="11" t="s">
        <v>40</v>
      </c>
      <c r="F139" s="11">
        <v>118.0</v>
      </c>
      <c r="G139" s="11" t="s">
        <v>34</v>
      </c>
      <c r="H139" s="11" t="s">
        <v>34</v>
      </c>
      <c r="I139" s="11" t="s">
        <v>35</v>
      </c>
      <c r="J139" s="12" t="s">
        <v>55</v>
      </c>
    </row>
    <row r="140" ht="15.75" customHeight="1">
      <c r="A140" s="9">
        <v>6.0</v>
      </c>
      <c r="B140" s="9" t="s">
        <v>345</v>
      </c>
      <c r="C140" s="10" t="s">
        <v>346</v>
      </c>
      <c r="D140" s="9" t="s">
        <v>28</v>
      </c>
      <c r="E140" s="9" t="s">
        <v>40</v>
      </c>
      <c r="F140" s="9">
        <v>333.0</v>
      </c>
      <c r="G140" s="9">
        <v>115.0</v>
      </c>
      <c r="H140" s="9">
        <f t="shared" ref="H140:H169" si="14">G140-F140</f>
        <v>-218</v>
      </c>
      <c r="I140" s="9" t="s">
        <v>30</v>
      </c>
      <c r="J140" s="10"/>
    </row>
    <row r="141" ht="15.75" customHeight="1">
      <c r="A141" s="9">
        <v>6.0</v>
      </c>
      <c r="B141" s="9" t="s">
        <v>347</v>
      </c>
      <c r="C141" s="10" t="s">
        <v>348</v>
      </c>
      <c r="D141" s="9" t="s">
        <v>28</v>
      </c>
      <c r="E141" s="9" t="s">
        <v>40</v>
      </c>
      <c r="F141" s="9">
        <v>3.0</v>
      </c>
      <c r="G141" s="9">
        <v>5.0</v>
      </c>
      <c r="H141" s="9">
        <f t="shared" si="14"/>
        <v>2</v>
      </c>
      <c r="I141" s="9" t="s">
        <v>30</v>
      </c>
      <c r="J141" s="10"/>
    </row>
    <row r="142" ht="15.75" customHeight="1">
      <c r="A142" s="9">
        <v>6.0</v>
      </c>
      <c r="B142" s="9" t="s">
        <v>349</v>
      </c>
      <c r="C142" s="10" t="s">
        <v>350</v>
      </c>
      <c r="D142" s="9" t="s">
        <v>28</v>
      </c>
      <c r="E142" s="9" t="s">
        <v>40</v>
      </c>
      <c r="F142" s="9">
        <v>17.0</v>
      </c>
      <c r="G142" s="9">
        <v>0.0</v>
      </c>
      <c r="H142" s="9">
        <f t="shared" si="14"/>
        <v>-17</v>
      </c>
      <c r="I142" s="9" t="s">
        <v>30</v>
      </c>
      <c r="J142" s="10"/>
    </row>
    <row r="143" ht="15.75" customHeight="1">
      <c r="A143" s="9">
        <v>6.0</v>
      </c>
      <c r="B143" s="9" t="s">
        <v>351</v>
      </c>
      <c r="C143" s="10" t="s">
        <v>352</v>
      </c>
      <c r="D143" s="9" t="s">
        <v>28</v>
      </c>
      <c r="E143" s="9" t="s">
        <v>29</v>
      </c>
      <c r="F143" s="9">
        <v>5.0</v>
      </c>
      <c r="G143" s="9">
        <v>5.0</v>
      </c>
      <c r="H143" s="9">
        <f t="shared" si="14"/>
        <v>0</v>
      </c>
      <c r="I143" s="9" t="s">
        <v>30</v>
      </c>
      <c r="J143" s="10"/>
    </row>
    <row r="144" ht="15.75" customHeight="1">
      <c r="A144" s="9">
        <v>6.0</v>
      </c>
      <c r="B144" s="9" t="s">
        <v>353</v>
      </c>
      <c r="C144" s="10" t="s">
        <v>354</v>
      </c>
      <c r="D144" s="9" t="s">
        <v>70</v>
      </c>
      <c r="E144" s="9" t="s">
        <v>40</v>
      </c>
      <c r="F144" s="9">
        <v>3.0</v>
      </c>
      <c r="G144" s="9">
        <v>1.0</v>
      </c>
      <c r="H144" s="9">
        <f t="shared" si="14"/>
        <v>-2</v>
      </c>
      <c r="I144" s="9" t="s">
        <v>30</v>
      </c>
      <c r="J144" s="10"/>
    </row>
    <row r="145" ht="15.75" customHeight="1">
      <c r="A145" s="9">
        <v>6.0</v>
      </c>
      <c r="B145" s="9" t="s">
        <v>355</v>
      </c>
      <c r="C145" s="10" t="s">
        <v>356</v>
      </c>
      <c r="D145" s="9" t="s">
        <v>28</v>
      </c>
      <c r="E145" s="9" t="s">
        <v>40</v>
      </c>
      <c r="F145" s="9">
        <v>4.0</v>
      </c>
      <c r="G145" s="9">
        <v>7.0</v>
      </c>
      <c r="H145" s="9">
        <f t="shared" si="14"/>
        <v>3</v>
      </c>
      <c r="I145" s="9" t="s">
        <v>30</v>
      </c>
      <c r="J145" s="10"/>
    </row>
    <row r="146" ht="15.75" customHeight="1">
      <c r="A146" s="9">
        <v>6.0</v>
      </c>
      <c r="B146" s="9" t="s">
        <v>357</v>
      </c>
      <c r="C146" s="10" t="s">
        <v>358</v>
      </c>
      <c r="D146" s="9" t="s">
        <v>28</v>
      </c>
      <c r="E146" s="9" t="s">
        <v>40</v>
      </c>
      <c r="F146" s="9">
        <v>12.0</v>
      </c>
      <c r="G146" s="9">
        <v>26.0</v>
      </c>
      <c r="H146" s="9">
        <f t="shared" si="14"/>
        <v>14</v>
      </c>
      <c r="I146" s="9" t="s">
        <v>30</v>
      </c>
      <c r="J146" s="10"/>
    </row>
    <row r="147" ht="15.75" customHeight="1">
      <c r="A147" s="9">
        <v>6.0</v>
      </c>
      <c r="B147" s="9" t="s">
        <v>359</v>
      </c>
      <c r="C147" s="10" t="s">
        <v>360</v>
      </c>
      <c r="D147" s="9" t="s">
        <v>28</v>
      </c>
      <c r="E147" s="9" t="s">
        <v>40</v>
      </c>
      <c r="F147" s="9">
        <v>4.0</v>
      </c>
      <c r="G147" s="9">
        <v>4.0</v>
      </c>
      <c r="H147" s="9">
        <f t="shared" si="14"/>
        <v>0</v>
      </c>
      <c r="I147" s="9" t="s">
        <v>30</v>
      </c>
      <c r="J147" s="10"/>
    </row>
    <row r="148" ht="15.75" customHeight="1">
      <c r="A148" s="9">
        <v>6.0</v>
      </c>
      <c r="B148" s="9" t="s">
        <v>361</v>
      </c>
      <c r="C148" s="10" t="s">
        <v>362</v>
      </c>
      <c r="D148" s="9" t="s">
        <v>28</v>
      </c>
      <c r="E148" s="9" t="s">
        <v>40</v>
      </c>
      <c r="F148" s="9">
        <v>1.0</v>
      </c>
      <c r="G148" s="9">
        <v>1.0</v>
      </c>
      <c r="H148" s="9">
        <f t="shared" si="14"/>
        <v>0</v>
      </c>
      <c r="I148" s="9" t="s">
        <v>30</v>
      </c>
      <c r="J148" s="10"/>
    </row>
    <row r="149" ht="15.75" customHeight="1">
      <c r="A149" s="9">
        <v>6.0</v>
      </c>
      <c r="B149" s="9" t="s">
        <v>363</v>
      </c>
      <c r="C149" s="10" t="s">
        <v>364</v>
      </c>
      <c r="D149" s="9" t="s">
        <v>70</v>
      </c>
      <c r="E149" s="9" t="s">
        <v>40</v>
      </c>
      <c r="F149" s="9">
        <v>1.0</v>
      </c>
      <c r="G149" s="9">
        <v>0.0</v>
      </c>
      <c r="H149" s="9">
        <f t="shared" si="14"/>
        <v>-1</v>
      </c>
      <c r="I149" s="9" t="s">
        <v>30</v>
      </c>
      <c r="J149" s="10"/>
    </row>
    <row r="150" ht="15.75" customHeight="1">
      <c r="A150" s="9">
        <v>6.0</v>
      </c>
      <c r="B150" s="9" t="s">
        <v>365</v>
      </c>
      <c r="C150" s="10" t="s">
        <v>366</v>
      </c>
      <c r="D150" s="9" t="s">
        <v>70</v>
      </c>
      <c r="E150" s="9" t="s">
        <v>40</v>
      </c>
      <c r="F150" s="9">
        <v>4.0</v>
      </c>
      <c r="G150" s="9">
        <v>3.0</v>
      </c>
      <c r="H150" s="9">
        <f t="shared" si="14"/>
        <v>-1</v>
      </c>
      <c r="I150" s="9" t="s">
        <v>30</v>
      </c>
      <c r="J150" s="10"/>
    </row>
    <row r="151" ht="15.75" customHeight="1">
      <c r="A151" s="9">
        <v>6.0</v>
      </c>
      <c r="B151" s="9" t="s">
        <v>367</v>
      </c>
      <c r="C151" s="10" t="s">
        <v>368</v>
      </c>
      <c r="D151" s="9" t="s">
        <v>28</v>
      </c>
      <c r="E151" s="9" t="s">
        <v>40</v>
      </c>
      <c r="F151" s="9">
        <v>2.0</v>
      </c>
      <c r="G151" s="9">
        <v>1.0</v>
      </c>
      <c r="H151" s="9">
        <f t="shared" si="14"/>
        <v>-1</v>
      </c>
      <c r="I151" s="9" t="s">
        <v>30</v>
      </c>
      <c r="J151" s="10"/>
    </row>
    <row r="152" ht="15.75" customHeight="1">
      <c r="A152" s="9">
        <v>6.0</v>
      </c>
      <c r="B152" s="9" t="s">
        <v>369</v>
      </c>
      <c r="C152" s="10" t="s">
        <v>370</v>
      </c>
      <c r="D152" s="9" t="s">
        <v>28</v>
      </c>
      <c r="E152" s="9" t="s">
        <v>40</v>
      </c>
      <c r="F152" s="9">
        <v>5.0</v>
      </c>
      <c r="G152" s="9">
        <v>5.0</v>
      </c>
      <c r="H152" s="9">
        <f t="shared" si="14"/>
        <v>0</v>
      </c>
      <c r="I152" s="9" t="s">
        <v>30</v>
      </c>
      <c r="J152" s="10"/>
    </row>
    <row r="153" ht="15.75" customHeight="1">
      <c r="A153" s="9">
        <v>6.0</v>
      </c>
      <c r="B153" s="9" t="s">
        <v>371</v>
      </c>
      <c r="C153" s="10" t="s">
        <v>372</v>
      </c>
      <c r="D153" s="9" t="s">
        <v>28</v>
      </c>
      <c r="E153" s="9" t="s">
        <v>40</v>
      </c>
      <c r="F153" s="9">
        <v>1.0</v>
      </c>
      <c r="G153" s="9">
        <v>0.0</v>
      </c>
      <c r="H153" s="9">
        <f t="shared" si="14"/>
        <v>-1</v>
      </c>
      <c r="I153" s="9" t="s">
        <v>30</v>
      </c>
      <c r="J153" s="10"/>
    </row>
    <row r="154" ht="15.75" customHeight="1">
      <c r="A154" s="9">
        <v>6.0</v>
      </c>
      <c r="B154" s="9" t="s">
        <v>373</v>
      </c>
      <c r="C154" s="10" t="s">
        <v>374</v>
      </c>
      <c r="D154" s="9" t="s">
        <v>28</v>
      </c>
      <c r="E154" s="9" t="s">
        <v>40</v>
      </c>
      <c r="F154" s="9">
        <v>3.0</v>
      </c>
      <c r="G154" s="9">
        <v>3.0</v>
      </c>
      <c r="H154" s="9">
        <f t="shared" si="14"/>
        <v>0</v>
      </c>
      <c r="I154" s="9" t="s">
        <v>30</v>
      </c>
      <c r="J154" s="10"/>
    </row>
    <row r="155" ht="15.75" customHeight="1">
      <c r="A155" s="9">
        <v>6.0</v>
      </c>
      <c r="B155" s="9" t="s">
        <v>375</v>
      </c>
      <c r="C155" s="10" t="s">
        <v>376</v>
      </c>
      <c r="D155" s="9" t="s">
        <v>28</v>
      </c>
      <c r="E155" s="9" t="s">
        <v>40</v>
      </c>
      <c r="F155" s="9">
        <v>1.0</v>
      </c>
      <c r="G155" s="9">
        <v>1.0</v>
      </c>
      <c r="H155" s="9">
        <f t="shared" si="14"/>
        <v>0</v>
      </c>
      <c r="I155" s="9" t="s">
        <v>30</v>
      </c>
      <c r="J155" s="10"/>
    </row>
    <row r="156" ht="15.75" customHeight="1">
      <c r="A156" s="9">
        <v>6.0</v>
      </c>
      <c r="B156" s="9" t="s">
        <v>377</v>
      </c>
      <c r="C156" s="10" t="s">
        <v>378</v>
      </c>
      <c r="D156" s="9" t="s">
        <v>28</v>
      </c>
      <c r="E156" s="9" t="s">
        <v>40</v>
      </c>
      <c r="F156" s="9">
        <v>3.0</v>
      </c>
      <c r="G156" s="9">
        <v>0.0</v>
      </c>
      <c r="H156" s="9">
        <f t="shared" si="14"/>
        <v>-3</v>
      </c>
      <c r="I156" s="9" t="s">
        <v>30</v>
      </c>
      <c r="J156" s="10" t="s">
        <v>379</v>
      </c>
    </row>
    <row r="157" ht="15.75" customHeight="1">
      <c r="A157" s="9">
        <v>6.0</v>
      </c>
      <c r="B157" s="9" t="s">
        <v>380</v>
      </c>
      <c r="C157" s="10" t="s">
        <v>381</v>
      </c>
      <c r="D157" s="9" t="s">
        <v>28</v>
      </c>
      <c r="E157" s="9" t="s">
        <v>40</v>
      </c>
      <c r="F157" s="9">
        <v>8.0</v>
      </c>
      <c r="G157" s="9">
        <v>4.0</v>
      </c>
      <c r="H157" s="9">
        <f t="shared" si="14"/>
        <v>-4</v>
      </c>
      <c r="I157" s="9" t="s">
        <v>30</v>
      </c>
      <c r="J157" s="10"/>
    </row>
    <row r="158" ht="15.75" customHeight="1">
      <c r="A158" s="9">
        <v>6.0</v>
      </c>
      <c r="B158" s="9" t="s">
        <v>382</v>
      </c>
      <c r="C158" s="10" t="s">
        <v>383</v>
      </c>
      <c r="D158" s="9" t="s">
        <v>28</v>
      </c>
      <c r="E158" s="9" t="s">
        <v>40</v>
      </c>
      <c r="F158" s="9">
        <v>6.0</v>
      </c>
      <c r="G158" s="9">
        <v>6.0</v>
      </c>
      <c r="H158" s="9">
        <f t="shared" si="14"/>
        <v>0</v>
      </c>
      <c r="I158" s="9" t="s">
        <v>30</v>
      </c>
      <c r="J158" s="10"/>
    </row>
    <row r="159" ht="15.75" customHeight="1">
      <c r="A159" s="9">
        <v>6.0</v>
      </c>
      <c r="B159" s="9" t="s">
        <v>384</v>
      </c>
      <c r="C159" s="10" t="s">
        <v>385</v>
      </c>
      <c r="D159" s="9" t="s">
        <v>28</v>
      </c>
      <c r="E159" s="9" t="s">
        <v>40</v>
      </c>
      <c r="F159" s="9">
        <v>4.0</v>
      </c>
      <c r="G159" s="9">
        <v>12.0</v>
      </c>
      <c r="H159" s="9">
        <f t="shared" si="14"/>
        <v>8</v>
      </c>
      <c r="I159" s="9" t="s">
        <v>30</v>
      </c>
      <c r="J159" s="10"/>
    </row>
    <row r="160" ht="15.75" customHeight="1">
      <c r="A160" s="9">
        <v>6.0</v>
      </c>
      <c r="B160" s="9" t="s">
        <v>386</v>
      </c>
      <c r="C160" s="10" t="s">
        <v>387</v>
      </c>
      <c r="D160" s="9" t="s">
        <v>28</v>
      </c>
      <c r="E160" s="9" t="s">
        <v>40</v>
      </c>
      <c r="F160" s="9">
        <v>3.0</v>
      </c>
      <c r="G160" s="9">
        <v>3.0</v>
      </c>
      <c r="H160" s="9">
        <f t="shared" si="14"/>
        <v>0</v>
      </c>
      <c r="I160" s="9" t="s">
        <v>30</v>
      </c>
      <c r="J160" s="10"/>
    </row>
    <row r="161" ht="15.75" customHeight="1">
      <c r="A161" s="9">
        <v>7.0</v>
      </c>
      <c r="B161" s="9" t="s">
        <v>388</v>
      </c>
      <c r="C161" s="10" t="s">
        <v>389</v>
      </c>
      <c r="D161" s="9" t="s">
        <v>70</v>
      </c>
      <c r="E161" s="9" t="s">
        <v>40</v>
      </c>
      <c r="F161" s="9">
        <v>1.0</v>
      </c>
      <c r="G161" s="9">
        <v>1.0</v>
      </c>
      <c r="H161" s="9">
        <f t="shared" si="14"/>
        <v>0</v>
      </c>
      <c r="I161" s="9" t="s">
        <v>30</v>
      </c>
      <c r="J161" s="10"/>
    </row>
    <row r="162" ht="15.75" customHeight="1">
      <c r="A162" s="9">
        <v>7.0</v>
      </c>
      <c r="B162" s="9" t="s">
        <v>390</v>
      </c>
      <c r="C162" s="10" t="s">
        <v>391</v>
      </c>
      <c r="D162" s="9" t="s">
        <v>70</v>
      </c>
      <c r="E162" s="9" t="s">
        <v>40</v>
      </c>
      <c r="F162" s="9">
        <v>1.0</v>
      </c>
      <c r="G162" s="9">
        <v>1.0</v>
      </c>
      <c r="H162" s="9">
        <f t="shared" si="14"/>
        <v>0</v>
      </c>
      <c r="I162" s="9" t="s">
        <v>30</v>
      </c>
      <c r="J162" s="10"/>
    </row>
    <row r="163" ht="15.75" customHeight="1">
      <c r="A163" s="9">
        <v>7.0</v>
      </c>
      <c r="B163" s="9" t="s">
        <v>392</v>
      </c>
      <c r="C163" s="10" t="s">
        <v>393</v>
      </c>
      <c r="D163" s="9" t="s">
        <v>70</v>
      </c>
      <c r="E163" s="9" t="s">
        <v>40</v>
      </c>
      <c r="F163" s="9">
        <v>4.0</v>
      </c>
      <c r="G163" s="9">
        <v>2.0</v>
      </c>
      <c r="H163" s="9">
        <f t="shared" si="14"/>
        <v>-2</v>
      </c>
      <c r="I163" s="9" t="s">
        <v>30</v>
      </c>
      <c r="J163" s="10"/>
    </row>
    <row r="164" ht="15.75" customHeight="1">
      <c r="A164" s="9">
        <v>7.0</v>
      </c>
      <c r="B164" s="9" t="s">
        <v>394</v>
      </c>
      <c r="C164" s="10" t="s">
        <v>395</v>
      </c>
      <c r="D164" s="9" t="s">
        <v>70</v>
      </c>
      <c r="E164" s="9" t="s">
        <v>40</v>
      </c>
      <c r="F164" s="9">
        <v>3.0</v>
      </c>
      <c r="G164" s="9">
        <v>3.0</v>
      </c>
      <c r="H164" s="9">
        <f t="shared" si="14"/>
        <v>0</v>
      </c>
      <c r="I164" s="9" t="s">
        <v>30</v>
      </c>
      <c r="J164" s="10"/>
    </row>
    <row r="165" ht="15.75" customHeight="1">
      <c r="A165" s="9">
        <v>7.0</v>
      </c>
      <c r="B165" s="9" t="s">
        <v>396</v>
      </c>
      <c r="C165" s="10" t="s">
        <v>397</v>
      </c>
      <c r="D165" s="9" t="s">
        <v>70</v>
      </c>
      <c r="E165" s="9" t="s">
        <v>29</v>
      </c>
      <c r="F165" s="9">
        <v>1.25</v>
      </c>
      <c r="G165" s="9">
        <v>1.0</v>
      </c>
      <c r="H165" s="9">
        <f t="shared" si="14"/>
        <v>-0.25</v>
      </c>
      <c r="I165" s="9" t="s">
        <v>30</v>
      </c>
      <c r="J165" s="10"/>
    </row>
    <row r="166" ht="15.75" customHeight="1">
      <c r="A166" s="9">
        <v>7.0</v>
      </c>
      <c r="B166" s="9" t="s">
        <v>398</v>
      </c>
      <c r="C166" s="10" t="s">
        <v>399</v>
      </c>
      <c r="D166" s="9" t="s">
        <v>70</v>
      </c>
      <c r="E166" s="9" t="s">
        <v>29</v>
      </c>
      <c r="F166" s="9">
        <v>1.0</v>
      </c>
      <c r="G166" s="9">
        <v>1.0</v>
      </c>
      <c r="H166" s="9">
        <f t="shared" si="14"/>
        <v>0</v>
      </c>
      <c r="I166" s="9" t="s">
        <v>30</v>
      </c>
      <c r="J166" s="10"/>
    </row>
    <row r="167" ht="15.75" customHeight="1">
      <c r="A167" s="9">
        <v>7.0</v>
      </c>
      <c r="B167" s="9" t="s">
        <v>400</v>
      </c>
      <c r="C167" s="10" t="s">
        <v>401</v>
      </c>
      <c r="D167" s="9" t="s">
        <v>28</v>
      </c>
      <c r="E167" s="9" t="s">
        <v>29</v>
      </c>
      <c r="F167" s="9">
        <v>2.0</v>
      </c>
      <c r="G167" s="9">
        <v>0.0</v>
      </c>
      <c r="H167" s="9">
        <f t="shared" si="14"/>
        <v>-2</v>
      </c>
      <c r="I167" s="9" t="s">
        <v>30</v>
      </c>
      <c r="J167" s="10" t="s">
        <v>402</v>
      </c>
    </row>
    <row r="168" ht="15.75" customHeight="1">
      <c r="A168" s="9">
        <v>7.0</v>
      </c>
      <c r="B168" s="9" t="s">
        <v>403</v>
      </c>
      <c r="C168" s="10" t="s">
        <v>404</v>
      </c>
      <c r="D168" s="9" t="s">
        <v>28</v>
      </c>
      <c r="E168" s="9" t="s">
        <v>40</v>
      </c>
      <c r="F168" s="9">
        <v>1.0</v>
      </c>
      <c r="G168" s="9">
        <v>0.0</v>
      </c>
      <c r="H168" s="9">
        <f t="shared" si="14"/>
        <v>-1</v>
      </c>
      <c r="I168" s="9" t="s">
        <v>30</v>
      </c>
      <c r="J168" s="10"/>
    </row>
    <row r="169" ht="15.75" customHeight="1">
      <c r="A169" s="9">
        <v>7.0</v>
      </c>
      <c r="B169" s="9" t="s">
        <v>405</v>
      </c>
      <c r="C169" s="10" t="s">
        <v>406</v>
      </c>
      <c r="D169" s="9" t="s">
        <v>28</v>
      </c>
      <c r="E169" s="9" t="s">
        <v>40</v>
      </c>
      <c r="F169" s="9">
        <v>1.0</v>
      </c>
      <c r="G169" s="9">
        <v>1.0</v>
      </c>
      <c r="H169" s="9">
        <f t="shared" si="14"/>
        <v>0</v>
      </c>
      <c r="I169" s="9" t="s">
        <v>30</v>
      </c>
      <c r="J169" s="10"/>
    </row>
    <row r="170" ht="15.75" customHeight="1">
      <c r="A170" s="11">
        <v>7.0</v>
      </c>
      <c r="B170" s="11" t="s">
        <v>407</v>
      </c>
      <c r="C170" s="12" t="s">
        <v>408</v>
      </c>
      <c r="D170" s="11" t="s">
        <v>28</v>
      </c>
      <c r="E170" s="11" t="s">
        <v>40</v>
      </c>
      <c r="F170" s="11">
        <v>116.0</v>
      </c>
      <c r="G170" s="11" t="s">
        <v>34</v>
      </c>
      <c r="H170" s="11" t="s">
        <v>34</v>
      </c>
      <c r="I170" s="11" t="s">
        <v>35</v>
      </c>
      <c r="J170" s="12" t="s">
        <v>55</v>
      </c>
    </row>
    <row r="171" ht="15.75" customHeight="1">
      <c r="A171" s="9">
        <v>7.0</v>
      </c>
      <c r="B171" s="9" t="s">
        <v>409</v>
      </c>
      <c r="C171" s="10" t="s">
        <v>410</v>
      </c>
      <c r="D171" s="9" t="s">
        <v>70</v>
      </c>
      <c r="E171" s="9" t="s">
        <v>29</v>
      </c>
      <c r="F171" s="9">
        <v>2.0</v>
      </c>
      <c r="G171" s="9">
        <v>2.0</v>
      </c>
      <c r="H171" s="9">
        <f t="shared" ref="H171:H178" si="15">G171-F171</f>
        <v>0</v>
      </c>
      <c r="I171" s="9" t="s">
        <v>30</v>
      </c>
      <c r="J171" s="10"/>
    </row>
    <row r="172" ht="15.75" customHeight="1">
      <c r="A172" s="9">
        <v>7.0</v>
      </c>
      <c r="B172" s="9" t="s">
        <v>411</v>
      </c>
      <c r="C172" s="10" t="s">
        <v>412</v>
      </c>
      <c r="D172" s="9" t="s">
        <v>58</v>
      </c>
      <c r="E172" s="9" t="s">
        <v>40</v>
      </c>
      <c r="F172" s="9">
        <v>2.0</v>
      </c>
      <c r="G172" s="9">
        <v>0.0</v>
      </c>
      <c r="H172" s="9">
        <f t="shared" si="15"/>
        <v>-2</v>
      </c>
      <c r="I172" s="9" t="s">
        <v>30</v>
      </c>
      <c r="J172" s="10"/>
    </row>
    <row r="173" ht="15.75" customHeight="1">
      <c r="A173" s="9">
        <v>7.0</v>
      </c>
      <c r="B173" s="9" t="s">
        <v>413</v>
      </c>
      <c r="C173" s="10" t="s">
        <v>414</v>
      </c>
      <c r="D173" s="9" t="s">
        <v>28</v>
      </c>
      <c r="E173" s="9" t="s">
        <v>29</v>
      </c>
      <c r="F173" s="9">
        <v>2.51</v>
      </c>
      <c r="G173" s="9">
        <v>2.0</v>
      </c>
      <c r="H173" s="9">
        <f t="shared" si="15"/>
        <v>-0.51</v>
      </c>
      <c r="I173" s="9" t="s">
        <v>30</v>
      </c>
      <c r="J173" s="10"/>
    </row>
    <row r="174" ht="15.75" customHeight="1">
      <c r="A174" s="9">
        <v>7.0</v>
      </c>
      <c r="B174" s="9" t="s">
        <v>415</v>
      </c>
      <c r="C174" s="10" t="s">
        <v>416</v>
      </c>
      <c r="D174" s="9" t="s">
        <v>28</v>
      </c>
      <c r="E174" s="9" t="s">
        <v>40</v>
      </c>
      <c r="F174" s="9">
        <v>13.0</v>
      </c>
      <c r="G174" s="9">
        <v>5.0</v>
      </c>
      <c r="H174" s="9">
        <f t="shared" si="15"/>
        <v>-8</v>
      </c>
      <c r="I174" s="9" t="s">
        <v>30</v>
      </c>
      <c r="J174" s="10"/>
    </row>
    <row r="175" ht="15.75" customHeight="1">
      <c r="A175" s="9">
        <v>7.0</v>
      </c>
      <c r="B175" s="9" t="s">
        <v>417</v>
      </c>
      <c r="C175" s="10" t="s">
        <v>418</v>
      </c>
      <c r="D175" s="9" t="s">
        <v>28</v>
      </c>
      <c r="E175" s="9" t="s">
        <v>40</v>
      </c>
      <c r="F175" s="9">
        <v>2.0</v>
      </c>
      <c r="G175" s="9">
        <v>1.0</v>
      </c>
      <c r="H175" s="9">
        <f t="shared" si="15"/>
        <v>-1</v>
      </c>
      <c r="I175" s="9" t="s">
        <v>30</v>
      </c>
      <c r="J175" s="10"/>
    </row>
    <row r="176" ht="15.75" customHeight="1">
      <c r="A176" s="9">
        <v>7.0</v>
      </c>
      <c r="B176" s="9" t="s">
        <v>419</v>
      </c>
      <c r="C176" s="10" t="s">
        <v>420</v>
      </c>
      <c r="D176" s="9" t="s">
        <v>70</v>
      </c>
      <c r="E176" s="9" t="s">
        <v>29</v>
      </c>
      <c r="F176" s="9">
        <v>3.0</v>
      </c>
      <c r="G176" s="9">
        <v>2.0</v>
      </c>
      <c r="H176" s="9">
        <f t="shared" si="15"/>
        <v>-1</v>
      </c>
      <c r="I176" s="9" t="s">
        <v>30</v>
      </c>
      <c r="J176" s="10"/>
    </row>
    <row r="177" ht="15.75" customHeight="1">
      <c r="A177" s="9">
        <v>7.0</v>
      </c>
      <c r="B177" s="9" t="s">
        <v>421</v>
      </c>
      <c r="C177" s="10" t="s">
        <v>422</v>
      </c>
      <c r="D177" s="9" t="s">
        <v>70</v>
      </c>
      <c r="E177" s="9" t="s">
        <v>29</v>
      </c>
      <c r="F177" s="9">
        <v>2.82</v>
      </c>
      <c r="G177" s="9">
        <v>2.82</v>
      </c>
      <c r="H177" s="9">
        <f t="shared" si="15"/>
        <v>0</v>
      </c>
      <c r="I177" s="9" t="s">
        <v>30</v>
      </c>
      <c r="J177" s="10" t="s">
        <v>423</v>
      </c>
    </row>
    <row r="178" ht="15.75" customHeight="1">
      <c r="A178" s="9">
        <v>7.0</v>
      </c>
      <c r="B178" s="9" t="s">
        <v>424</v>
      </c>
      <c r="C178" s="10" t="s">
        <v>425</v>
      </c>
      <c r="D178" s="9" t="s">
        <v>70</v>
      </c>
      <c r="E178" s="9" t="s">
        <v>29</v>
      </c>
      <c r="F178" s="9">
        <v>1.1</v>
      </c>
      <c r="G178" s="9">
        <v>1.0</v>
      </c>
      <c r="H178" s="9">
        <f t="shared" si="15"/>
        <v>-0.1</v>
      </c>
      <c r="I178" s="9" t="s">
        <v>30</v>
      </c>
      <c r="J178" s="10"/>
    </row>
    <row r="179" ht="15.75" customHeight="1">
      <c r="A179" s="13">
        <v>7.0</v>
      </c>
      <c r="B179" s="13" t="s">
        <v>426</v>
      </c>
      <c r="C179" s="14" t="s">
        <v>427</v>
      </c>
      <c r="D179" s="13" t="s">
        <v>70</v>
      </c>
      <c r="E179" s="13" t="s">
        <v>29</v>
      </c>
      <c r="F179" s="13">
        <v>1.0</v>
      </c>
      <c r="G179" s="13">
        <v>0.0</v>
      </c>
      <c r="H179" s="15">
        <v>0.0</v>
      </c>
      <c r="I179" s="13" t="s">
        <v>147</v>
      </c>
      <c r="J179" s="14" t="s">
        <v>428</v>
      </c>
    </row>
    <row r="180" ht="15.75" customHeight="1">
      <c r="A180" s="9">
        <v>7.0</v>
      </c>
      <c r="B180" s="9" t="s">
        <v>429</v>
      </c>
      <c r="C180" s="10" t="s">
        <v>430</v>
      </c>
      <c r="D180" s="9" t="s">
        <v>28</v>
      </c>
      <c r="E180" s="9" t="s">
        <v>40</v>
      </c>
      <c r="F180" s="9">
        <v>17.0</v>
      </c>
      <c r="G180" s="9">
        <v>21.0</v>
      </c>
      <c r="H180" s="9">
        <f t="shared" ref="H180:H192" si="16">G180-F180</f>
        <v>4</v>
      </c>
      <c r="I180" s="9" t="s">
        <v>30</v>
      </c>
      <c r="J180" s="10"/>
    </row>
    <row r="181" ht="15.75" customHeight="1">
      <c r="A181" s="9">
        <v>7.0</v>
      </c>
      <c r="B181" s="9" t="s">
        <v>431</v>
      </c>
      <c r="C181" s="10" t="s">
        <v>432</v>
      </c>
      <c r="D181" s="9" t="s">
        <v>28</v>
      </c>
      <c r="E181" s="9" t="s">
        <v>40</v>
      </c>
      <c r="F181" s="9">
        <v>1.0</v>
      </c>
      <c r="G181" s="9">
        <v>6.0</v>
      </c>
      <c r="H181" s="9">
        <f t="shared" si="16"/>
        <v>5</v>
      </c>
      <c r="I181" s="9" t="s">
        <v>30</v>
      </c>
      <c r="J181" s="10"/>
    </row>
    <row r="182" ht="15.75" customHeight="1">
      <c r="A182" s="9">
        <v>7.0</v>
      </c>
      <c r="B182" s="9" t="s">
        <v>433</v>
      </c>
      <c r="C182" s="10" t="s">
        <v>434</v>
      </c>
      <c r="D182" s="9" t="s">
        <v>28</v>
      </c>
      <c r="E182" s="9" t="s">
        <v>40</v>
      </c>
      <c r="F182" s="9">
        <v>4.0</v>
      </c>
      <c r="G182" s="9">
        <v>4.0</v>
      </c>
      <c r="H182" s="9">
        <f t="shared" si="16"/>
        <v>0</v>
      </c>
      <c r="I182" s="9" t="s">
        <v>30</v>
      </c>
      <c r="J182" s="10"/>
    </row>
    <row r="183" ht="15.75" customHeight="1">
      <c r="A183" s="9">
        <v>7.0</v>
      </c>
      <c r="B183" s="9" t="s">
        <v>435</v>
      </c>
      <c r="C183" s="10" t="s">
        <v>436</v>
      </c>
      <c r="D183" s="9" t="s">
        <v>28</v>
      </c>
      <c r="E183" s="9" t="s">
        <v>40</v>
      </c>
      <c r="F183" s="9">
        <v>2.0</v>
      </c>
      <c r="G183" s="9">
        <v>2.0</v>
      </c>
      <c r="H183" s="9">
        <f t="shared" si="16"/>
        <v>0</v>
      </c>
      <c r="I183" s="9" t="s">
        <v>30</v>
      </c>
      <c r="J183" s="10"/>
    </row>
    <row r="184" ht="15.75" customHeight="1">
      <c r="A184" s="9">
        <v>7.0</v>
      </c>
      <c r="B184" s="9" t="s">
        <v>437</v>
      </c>
      <c r="C184" s="10" t="s">
        <v>438</v>
      </c>
      <c r="D184" s="9" t="s">
        <v>28</v>
      </c>
      <c r="E184" s="9" t="s">
        <v>40</v>
      </c>
      <c r="F184" s="9">
        <v>8.0</v>
      </c>
      <c r="G184" s="9">
        <v>10.0</v>
      </c>
      <c r="H184" s="9">
        <f t="shared" si="16"/>
        <v>2</v>
      </c>
      <c r="I184" s="9" t="s">
        <v>30</v>
      </c>
      <c r="J184" s="10"/>
    </row>
    <row r="185" ht="15.75" customHeight="1">
      <c r="A185" s="9">
        <v>7.0</v>
      </c>
      <c r="B185" s="9" t="s">
        <v>439</v>
      </c>
      <c r="C185" s="10" t="s">
        <v>440</v>
      </c>
      <c r="D185" s="9" t="s">
        <v>28</v>
      </c>
      <c r="E185" s="9" t="s">
        <v>40</v>
      </c>
      <c r="F185" s="9">
        <v>14.0</v>
      </c>
      <c r="G185" s="9">
        <v>14.0</v>
      </c>
      <c r="H185" s="9">
        <f t="shared" si="16"/>
        <v>0</v>
      </c>
      <c r="I185" s="9" t="s">
        <v>30</v>
      </c>
      <c r="J185" s="10"/>
    </row>
    <row r="186" ht="15.75" customHeight="1">
      <c r="A186" s="9">
        <v>7.0</v>
      </c>
      <c r="B186" s="9" t="s">
        <v>441</v>
      </c>
      <c r="C186" s="10" t="s">
        <v>442</v>
      </c>
      <c r="D186" s="9" t="s">
        <v>28</v>
      </c>
      <c r="E186" s="9" t="s">
        <v>40</v>
      </c>
      <c r="F186" s="9">
        <v>3.0</v>
      </c>
      <c r="G186" s="9">
        <v>0.0</v>
      </c>
      <c r="H186" s="9">
        <f t="shared" si="16"/>
        <v>-3</v>
      </c>
      <c r="I186" s="9" t="s">
        <v>30</v>
      </c>
      <c r="J186" s="10"/>
    </row>
    <row r="187" ht="15.75" customHeight="1">
      <c r="A187" s="9">
        <v>7.0</v>
      </c>
      <c r="B187" s="9" t="s">
        <v>443</v>
      </c>
      <c r="C187" s="10" t="s">
        <v>444</v>
      </c>
      <c r="D187" s="9" t="s">
        <v>70</v>
      </c>
      <c r="E187" s="9" t="s">
        <v>40</v>
      </c>
      <c r="F187" s="9">
        <v>2.0</v>
      </c>
      <c r="G187" s="9">
        <v>1.0</v>
      </c>
      <c r="H187" s="9">
        <f t="shared" si="16"/>
        <v>-1</v>
      </c>
      <c r="I187" s="9" t="s">
        <v>30</v>
      </c>
      <c r="J187" s="10"/>
    </row>
    <row r="188" ht="15.75" customHeight="1">
      <c r="A188" s="9">
        <v>8.0</v>
      </c>
      <c r="B188" s="9" t="s">
        <v>445</v>
      </c>
      <c r="C188" s="10" t="s">
        <v>446</v>
      </c>
      <c r="D188" s="9" t="s">
        <v>70</v>
      </c>
      <c r="E188" s="9" t="s">
        <v>40</v>
      </c>
      <c r="F188" s="9">
        <v>3.0</v>
      </c>
      <c r="G188" s="9">
        <v>1.0</v>
      </c>
      <c r="H188" s="9">
        <f t="shared" si="16"/>
        <v>-2</v>
      </c>
      <c r="I188" s="9" t="s">
        <v>30</v>
      </c>
      <c r="J188" s="10"/>
    </row>
    <row r="189" ht="15.75" customHeight="1">
      <c r="A189" s="9">
        <v>8.0</v>
      </c>
      <c r="B189" s="9" t="s">
        <v>447</v>
      </c>
      <c r="C189" s="10" t="s">
        <v>448</v>
      </c>
      <c r="D189" s="9" t="s">
        <v>70</v>
      </c>
      <c r="E189" s="9" t="s">
        <v>40</v>
      </c>
      <c r="F189" s="9">
        <v>3.0</v>
      </c>
      <c r="G189" s="9">
        <v>1.0</v>
      </c>
      <c r="H189" s="9">
        <f t="shared" si="16"/>
        <v>-2</v>
      </c>
      <c r="I189" s="9" t="s">
        <v>30</v>
      </c>
      <c r="J189" s="10"/>
    </row>
    <row r="190" ht="15.75" customHeight="1">
      <c r="A190" s="9">
        <v>8.0</v>
      </c>
      <c r="B190" s="9" t="s">
        <v>449</v>
      </c>
      <c r="C190" s="10" t="s">
        <v>450</v>
      </c>
      <c r="D190" s="9" t="s">
        <v>70</v>
      </c>
      <c r="E190" s="9" t="s">
        <v>40</v>
      </c>
      <c r="F190" s="9">
        <v>5.0</v>
      </c>
      <c r="G190" s="9">
        <v>6.0</v>
      </c>
      <c r="H190" s="9">
        <f t="shared" si="16"/>
        <v>1</v>
      </c>
      <c r="I190" s="9" t="s">
        <v>30</v>
      </c>
      <c r="J190" s="10"/>
    </row>
    <row r="191" ht="15.75" customHeight="1">
      <c r="A191" s="9">
        <v>8.0</v>
      </c>
      <c r="B191" s="9" t="s">
        <v>451</v>
      </c>
      <c r="C191" s="10" t="s">
        <v>452</v>
      </c>
      <c r="D191" s="9" t="s">
        <v>70</v>
      </c>
      <c r="E191" s="9" t="s">
        <v>40</v>
      </c>
      <c r="F191" s="9">
        <v>6.0</v>
      </c>
      <c r="G191" s="9">
        <v>6.0</v>
      </c>
      <c r="H191" s="9">
        <f t="shared" si="16"/>
        <v>0</v>
      </c>
      <c r="I191" s="9" t="s">
        <v>30</v>
      </c>
      <c r="J191" s="10"/>
    </row>
    <row r="192" ht="15.75" customHeight="1">
      <c r="A192" s="9">
        <v>8.0</v>
      </c>
      <c r="B192" s="9" t="s">
        <v>453</v>
      </c>
      <c r="C192" s="10" t="s">
        <v>454</v>
      </c>
      <c r="D192" s="9" t="s">
        <v>28</v>
      </c>
      <c r="E192" s="9" t="s">
        <v>40</v>
      </c>
      <c r="F192" s="9">
        <v>3.0</v>
      </c>
      <c r="G192" s="9">
        <v>3.0</v>
      </c>
      <c r="H192" s="9">
        <f t="shared" si="16"/>
        <v>0</v>
      </c>
      <c r="I192" s="9" t="s">
        <v>30</v>
      </c>
      <c r="J192" s="10"/>
    </row>
    <row r="193" ht="15.75" customHeight="1">
      <c r="A193" s="11">
        <v>8.0</v>
      </c>
      <c r="B193" s="11" t="s">
        <v>455</v>
      </c>
      <c r="C193" s="12" t="s">
        <v>456</v>
      </c>
      <c r="D193" s="11" t="s">
        <v>70</v>
      </c>
      <c r="E193" s="11" t="s">
        <v>40</v>
      </c>
      <c r="F193" s="11">
        <v>21.0</v>
      </c>
      <c r="G193" s="11" t="s">
        <v>34</v>
      </c>
      <c r="H193" s="11" t="s">
        <v>34</v>
      </c>
      <c r="I193" s="11" t="s">
        <v>35</v>
      </c>
      <c r="J193" s="12" t="s">
        <v>55</v>
      </c>
    </row>
    <row r="194" ht="15.75" customHeight="1">
      <c r="A194" s="9">
        <v>8.0</v>
      </c>
      <c r="B194" s="9" t="s">
        <v>457</v>
      </c>
      <c r="C194" s="10" t="s">
        <v>458</v>
      </c>
      <c r="D194" s="9" t="s">
        <v>70</v>
      </c>
      <c r="E194" s="9" t="s">
        <v>40</v>
      </c>
      <c r="F194" s="9">
        <v>9.0</v>
      </c>
      <c r="G194" s="9">
        <v>3.0</v>
      </c>
      <c r="H194" s="9">
        <f t="shared" ref="H194:H206" si="17">G194-F194</f>
        <v>-6</v>
      </c>
      <c r="I194" s="9" t="s">
        <v>30</v>
      </c>
      <c r="J194" s="10" t="s">
        <v>459</v>
      </c>
    </row>
    <row r="195" ht="15.75" customHeight="1">
      <c r="A195" s="9">
        <v>8.0</v>
      </c>
      <c r="B195" s="9" t="s">
        <v>460</v>
      </c>
      <c r="C195" s="10" t="s">
        <v>461</v>
      </c>
      <c r="D195" s="9" t="s">
        <v>70</v>
      </c>
      <c r="E195" s="9" t="s">
        <v>40</v>
      </c>
      <c r="F195" s="9">
        <v>1.0</v>
      </c>
      <c r="G195" s="9">
        <v>1.0</v>
      </c>
      <c r="H195" s="9">
        <f t="shared" si="17"/>
        <v>0</v>
      </c>
      <c r="I195" s="9" t="s">
        <v>30</v>
      </c>
      <c r="J195" s="10"/>
    </row>
    <row r="196" ht="15.75" customHeight="1">
      <c r="A196" s="9">
        <v>8.0</v>
      </c>
      <c r="B196" s="9" t="s">
        <v>462</v>
      </c>
      <c r="C196" s="10" t="s">
        <v>463</v>
      </c>
      <c r="D196" s="9" t="s">
        <v>28</v>
      </c>
      <c r="E196" s="9" t="s">
        <v>29</v>
      </c>
      <c r="F196" s="9">
        <v>1.0</v>
      </c>
      <c r="G196" s="9">
        <v>1.0</v>
      </c>
      <c r="H196" s="9">
        <f t="shared" si="17"/>
        <v>0</v>
      </c>
      <c r="I196" s="9" t="s">
        <v>30</v>
      </c>
      <c r="J196" s="10"/>
    </row>
    <row r="197" ht="15.75" customHeight="1">
      <c r="A197" s="13">
        <v>8.0</v>
      </c>
      <c r="B197" s="13" t="s">
        <v>464</v>
      </c>
      <c r="C197" s="17" t="s">
        <v>465</v>
      </c>
      <c r="D197" s="13" t="s">
        <v>70</v>
      </c>
      <c r="E197" s="13" t="s">
        <v>40</v>
      </c>
      <c r="F197" s="13">
        <v>1.0</v>
      </c>
      <c r="G197" s="13">
        <v>2.0</v>
      </c>
      <c r="H197" s="13">
        <f t="shared" si="17"/>
        <v>1</v>
      </c>
      <c r="I197" s="15">
        <v>2.0</v>
      </c>
      <c r="J197" s="14" t="s">
        <v>466</v>
      </c>
    </row>
    <row r="198" ht="15.75" customHeight="1">
      <c r="A198" s="9">
        <v>8.0</v>
      </c>
      <c r="B198" s="9" t="s">
        <v>467</v>
      </c>
      <c r="C198" s="10" t="s">
        <v>468</v>
      </c>
      <c r="D198" s="9" t="s">
        <v>39</v>
      </c>
      <c r="E198" s="9" t="s">
        <v>40</v>
      </c>
      <c r="F198" s="9">
        <v>18.0</v>
      </c>
      <c r="G198" s="9">
        <v>17.0</v>
      </c>
      <c r="H198" s="9">
        <f t="shared" si="17"/>
        <v>-1</v>
      </c>
      <c r="I198" s="9" t="s">
        <v>30</v>
      </c>
      <c r="J198" s="10"/>
    </row>
    <row r="199" ht="15.75" customHeight="1">
      <c r="A199" s="9">
        <v>8.0</v>
      </c>
      <c r="B199" s="9" t="s">
        <v>469</v>
      </c>
      <c r="C199" s="10" t="s">
        <v>470</v>
      </c>
      <c r="D199" s="9" t="s">
        <v>39</v>
      </c>
      <c r="E199" s="9" t="s">
        <v>40</v>
      </c>
      <c r="F199" s="9">
        <v>9.0</v>
      </c>
      <c r="G199" s="9">
        <v>12.0</v>
      </c>
      <c r="H199" s="9">
        <f t="shared" si="17"/>
        <v>3</v>
      </c>
      <c r="I199" s="9" t="s">
        <v>30</v>
      </c>
      <c r="J199" s="10"/>
    </row>
    <row r="200" ht="15.75" customHeight="1">
      <c r="A200" s="9">
        <v>8.0</v>
      </c>
      <c r="B200" s="9" t="s">
        <v>471</v>
      </c>
      <c r="C200" s="10" t="s">
        <v>472</v>
      </c>
      <c r="D200" s="9" t="s">
        <v>28</v>
      </c>
      <c r="E200" s="9" t="s">
        <v>40</v>
      </c>
      <c r="F200" s="9">
        <v>9.0</v>
      </c>
      <c r="G200" s="9">
        <v>8.0</v>
      </c>
      <c r="H200" s="9">
        <f t="shared" si="17"/>
        <v>-1</v>
      </c>
      <c r="I200" s="9" t="s">
        <v>30</v>
      </c>
      <c r="J200" s="10"/>
    </row>
    <row r="201" ht="15.75" customHeight="1">
      <c r="A201" s="9">
        <v>8.0</v>
      </c>
      <c r="B201" s="9" t="s">
        <v>473</v>
      </c>
      <c r="C201" s="10" t="s">
        <v>474</v>
      </c>
      <c r="D201" s="9" t="s">
        <v>28</v>
      </c>
      <c r="E201" s="9" t="s">
        <v>40</v>
      </c>
      <c r="F201" s="9">
        <v>26.0</v>
      </c>
      <c r="G201" s="9">
        <v>25.0</v>
      </c>
      <c r="H201" s="9">
        <f t="shared" si="17"/>
        <v>-1</v>
      </c>
      <c r="I201" s="9" t="s">
        <v>30</v>
      </c>
      <c r="J201" s="10"/>
    </row>
    <row r="202" ht="15.75" customHeight="1">
      <c r="A202" s="9">
        <v>8.0</v>
      </c>
      <c r="B202" s="9" t="s">
        <v>475</v>
      </c>
      <c r="C202" s="10" t="s">
        <v>476</v>
      </c>
      <c r="D202" s="9" t="s">
        <v>28</v>
      </c>
      <c r="E202" s="9" t="s">
        <v>40</v>
      </c>
      <c r="F202" s="9">
        <v>12.0</v>
      </c>
      <c r="G202" s="9">
        <v>0.0</v>
      </c>
      <c r="H202" s="9">
        <f t="shared" si="17"/>
        <v>-12</v>
      </c>
      <c r="I202" s="9" t="s">
        <v>30</v>
      </c>
      <c r="J202" s="10" t="s">
        <v>402</v>
      </c>
    </row>
    <row r="203" ht="15.75" customHeight="1">
      <c r="A203" s="9">
        <v>8.0</v>
      </c>
      <c r="B203" s="9" t="s">
        <v>477</v>
      </c>
      <c r="C203" s="10" t="s">
        <v>478</v>
      </c>
      <c r="D203" s="9" t="s">
        <v>70</v>
      </c>
      <c r="E203" s="9" t="s">
        <v>40</v>
      </c>
      <c r="F203" s="9">
        <v>2.0</v>
      </c>
      <c r="G203" s="9">
        <v>1.0</v>
      </c>
      <c r="H203" s="9">
        <f t="shared" si="17"/>
        <v>-1</v>
      </c>
      <c r="I203" s="9" t="s">
        <v>30</v>
      </c>
      <c r="J203" s="10"/>
    </row>
    <row r="204" ht="15.75" customHeight="1">
      <c r="A204" s="9">
        <v>8.0</v>
      </c>
      <c r="B204" s="9" t="s">
        <v>479</v>
      </c>
      <c r="C204" s="10" t="s">
        <v>480</v>
      </c>
      <c r="D204" s="9" t="s">
        <v>70</v>
      </c>
      <c r="E204" s="9" t="s">
        <v>40</v>
      </c>
      <c r="F204" s="9">
        <v>3.0</v>
      </c>
      <c r="G204" s="9">
        <v>0.0</v>
      </c>
      <c r="H204" s="9">
        <f t="shared" si="17"/>
        <v>-3</v>
      </c>
      <c r="I204" s="9" t="s">
        <v>30</v>
      </c>
      <c r="J204" s="10"/>
    </row>
    <row r="205" ht="15.75" customHeight="1">
      <c r="A205" s="9">
        <v>8.0</v>
      </c>
      <c r="B205" s="9" t="s">
        <v>481</v>
      </c>
      <c r="C205" s="10" t="s">
        <v>482</v>
      </c>
      <c r="D205" s="9" t="s">
        <v>70</v>
      </c>
      <c r="E205" s="9" t="s">
        <v>40</v>
      </c>
      <c r="F205" s="9">
        <v>2.0</v>
      </c>
      <c r="G205" s="9">
        <v>4.0</v>
      </c>
      <c r="H205" s="9">
        <f t="shared" si="17"/>
        <v>2</v>
      </c>
      <c r="I205" s="9" t="s">
        <v>30</v>
      </c>
      <c r="J205" s="10"/>
    </row>
    <row r="206" ht="15.75" customHeight="1">
      <c r="A206" s="9">
        <v>8.0</v>
      </c>
      <c r="B206" s="9" t="s">
        <v>483</v>
      </c>
      <c r="C206" s="10" t="s">
        <v>484</v>
      </c>
      <c r="D206" s="9" t="s">
        <v>70</v>
      </c>
      <c r="E206" s="9" t="s">
        <v>40</v>
      </c>
      <c r="F206" s="9">
        <v>0.99</v>
      </c>
      <c r="G206" s="9">
        <v>1.0</v>
      </c>
      <c r="H206" s="9">
        <f t="shared" si="17"/>
        <v>0.01</v>
      </c>
      <c r="I206" s="9" t="s">
        <v>30</v>
      </c>
      <c r="J206" s="10"/>
    </row>
    <row r="207" ht="15.75" customHeight="1">
      <c r="A207" s="11">
        <v>8.0</v>
      </c>
      <c r="B207" s="11" t="s">
        <v>485</v>
      </c>
      <c r="C207" s="12" t="s">
        <v>486</v>
      </c>
      <c r="D207" s="11" t="s">
        <v>70</v>
      </c>
      <c r="E207" s="11" t="s">
        <v>40</v>
      </c>
      <c r="F207" s="11">
        <v>5.0</v>
      </c>
      <c r="G207" s="11" t="s">
        <v>34</v>
      </c>
      <c r="H207" s="11" t="s">
        <v>34</v>
      </c>
      <c r="I207" s="11" t="s">
        <v>35</v>
      </c>
      <c r="J207" s="12" t="s">
        <v>55</v>
      </c>
    </row>
    <row r="208" ht="15.75" customHeight="1">
      <c r="A208" s="11">
        <v>8.0</v>
      </c>
      <c r="B208" s="11" t="s">
        <v>487</v>
      </c>
      <c r="C208" s="12" t="s">
        <v>91</v>
      </c>
      <c r="D208" s="11" t="s">
        <v>58</v>
      </c>
      <c r="E208" s="11" t="s">
        <v>29</v>
      </c>
      <c r="F208" s="11">
        <v>21.0</v>
      </c>
      <c r="G208" s="11" t="s">
        <v>34</v>
      </c>
      <c r="H208" s="11" t="s">
        <v>34</v>
      </c>
      <c r="I208" s="11" t="s">
        <v>35</v>
      </c>
      <c r="J208" s="12" t="s">
        <v>488</v>
      </c>
    </row>
    <row r="209" ht="15.75" customHeight="1">
      <c r="A209" s="9">
        <v>8.0</v>
      </c>
      <c r="B209" s="9" t="s">
        <v>489</v>
      </c>
      <c r="C209" s="10" t="s">
        <v>490</v>
      </c>
      <c r="D209" s="9" t="s">
        <v>28</v>
      </c>
      <c r="E209" s="9" t="s">
        <v>40</v>
      </c>
      <c r="F209" s="9">
        <v>8.0</v>
      </c>
      <c r="G209" s="9">
        <v>8.0</v>
      </c>
      <c r="H209" s="9">
        <f t="shared" ref="H209:H215" si="18">G209-F209</f>
        <v>0</v>
      </c>
      <c r="I209" s="9" t="s">
        <v>30</v>
      </c>
      <c r="J209" s="10"/>
    </row>
    <row r="210" ht="15.75" customHeight="1">
      <c r="A210" s="9">
        <v>8.0</v>
      </c>
      <c r="B210" s="9" t="s">
        <v>491</v>
      </c>
      <c r="C210" s="10" t="s">
        <v>492</v>
      </c>
      <c r="D210" s="9" t="s">
        <v>28</v>
      </c>
      <c r="E210" s="9" t="s">
        <v>40</v>
      </c>
      <c r="F210" s="9">
        <v>8.0</v>
      </c>
      <c r="G210" s="9">
        <v>6.0</v>
      </c>
      <c r="H210" s="9">
        <f t="shared" si="18"/>
        <v>-2</v>
      </c>
      <c r="I210" s="9" t="s">
        <v>30</v>
      </c>
      <c r="J210" s="10"/>
    </row>
    <row r="211" ht="15.75" customHeight="1">
      <c r="A211" s="9">
        <v>8.0</v>
      </c>
      <c r="B211" s="9" t="s">
        <v>493</v>
      </c>
      <c r="C211" s="10" t="s">
        <v>494</v>
      </c>
      <c r="D211" s="9" t="s">
        <v>28</v>
      </c>
      <c r="E211" s="9" t="s">
        <v>29</v>
      </c>
      <c r="F211" s="9">
        <v>4.0</v>
      </c>
      <c r="G211" s="9">
        <v>3.0</v>
      </c>
      <c r="H211" s="9">
        <f t="shared" si="18"/>
        <v>-1</v>
      </c>
      <c r="I211" s="9" t="s">
        <v>30</v>
      </c>
      <c r="J211" s="10"/>
    </row>
    <row r="212" ht="15.75" customHeight="1">
      <c r="A212" s="9">
        <v>8.0</v>
      </c>
      <c r="B212" s="9" t="s">
        <v>495</v>
      </c>
      <c r="C212" s="10" t="s">
        <v>496</v>
      </c>
      <c r="D212" s="9" t="s">
        <v>28</v>
      </c>
      <c r="E212" s="9" t="s">
        <v>40</v>
      </c>
      <c r="F212" s="9">
        <v>3.0</v>
      </c>
      <c r="G212" s="9">
        <v>2.0</v>
      </c>
      <c r="H212" s="9">
        <f t="shared" si="18"/>
        <v>-1</v>
      </c>
      <c r="I212" s="9" t="s">
        <v>30</v>
      </c>
      <c r="J212" s="10"/>
    </row>
    <row r="213" ht="15.75" customHeight="1">
      <c r="A213" s="9">
        <v>8.0</v>
      </c>
      <c r="B213" s="9" t="s">
        <v>497</v>
      </c>
      <c r="C213" s="10" t="s">
        <v>498</v>
      </c>
      <c r="D213" s="9" t="s">
        <v>28</v>
      </c>
      <c r="E213" s="9" t="s">
        <v>40</v>
      </c>
      <c r="F213" s="9">
        <v>1.0</v>
      </c>
      <c r="G213" s="9">
        <v>3.0</v>
      </c>
      <c r="H213" s="9">
        <f t="shared" si="18"/>
        <v>2</v>
      </c>
      <c r="I213" s="9" t="s">
        <v>30</v>
      </c>
      <c r="J213" s="10"/>
    </row>
    <row r="214" ht="15.75" customHeight="1">
      <c r="A214" s="9">
        <v>9.0</v>
      </c>
      <c r="B214" s="9" t="s">
        <v>499</v>
      </c>
      <c r="C214" s="10" t="s">
        <v>500</v>
      </c>
      <c r="D214" s="9" t="s">
        <v>39</v>
      </c>
      <c r="E214" s="9" t="s">
        <v>40</v>
      </c>
      <c r="F214" s="9">
        <v>26.0</v>
      </c>
      <c r="G214" s="9">
        <v>18.0</v>
      </c>
      <c r="H214" s="9">
        <f t="shared" si="18"/>
        <v>-8</v>
      </c>
      <c r="I214" s="9" t="s">
        <v>30</v>
      </c>
      <c r="J214" s="10"/>
    </row>
    <row r="215" ht="15.75" customHeight="1">
      <c r="A215" s="9">
        <v>9.0</v>
      </c>
      <c r="B215" s="9" t="s">
        <v>501</v>
      </c>
      <c r="C215" s="10" t="s">
        <v>502</v>
      </c>
      <c r="D215" s="9" t="s">
        <v>70</v>
      </c>
      <c r="E215" s="9" t="s">
        <v>40</v>
      </c>
      <c r="F215" s="9">
        <v>2.0</v>
      </c>
      <c r="G215" s="9">
        <v>4.0</v>
      </c>
      <c r="H215" s="9">
        <f t="shared" si="18"/>
        <v>2</v>
      </c>
      <c r="I215" s="9" t="s">
        <v>30</v>
      </c>
      <c r="J215" s="10"/>
    </row>
    <row r="216" ht="15.75" customHeight="1">
      <c r="A216" s="11">
        <v>9.0</v>
      </c>
      <c r="B216" s="11" t="s">
        <v>503</v>
      </c>
      <c r="C216" s="12" t="s">
        <v>504</v>
      </c>
      <c r="D216" s="11" t="s">
        <v>70</v>
      </c>
      <c r="E216" s="11" t="s">
        <v>40</v>
      </c>
      <c r="F216" s="11">
        <v>1.0</v>
      </c>
      <c r="G216" s="11" t="s">
        <v>34</v>
      </c>
      <c r="H216" s="11" t="s">
        <v>34</v>
      </c>
      <c r="I216" s="11" t="s">
        <v>35</v>
      </c>
      <c r="J216" s="12" t="s">
        <v>55</v>
      </c>
    </row>
    <row r="217" ht="15.75" customHeight="1">
      <c r="A217" s="9">
        <v>9.0</v>
      </c>
      <c r="B217" s="9" t="s">
        <v>505</v>
      </c>
      <c r="C217" s="10" t="s">
        <v>506</v>
      </c>
      <c r="D217" s="9" t="s">
        <v>39</v>
      </c>
      <c r="E217" s="9" t="s">
        <v>40</v>
      </c>
      <c r="F217" s="9">
        <v>3.0</v>
      </c>
      <c r="G217" s="9">
        <v>1.0</v>
      </c>
      <c r="H217" s="9">
        <f t="shared" ref="H217:H223" si="19">G217-F217</f>
        <v>-2</v>
      </c>
      <c r="I217" s="9" t="s">
        <v>30</v>
      </c>
      <c r="J217" s="10"/>
    </row>
    <row r="218" ht="15.75" customHeight="1">
      <c r="A218" s="13">
        <v>9.0</v>
      </c>
      <c r="B218" s="13" t="s">
        <v>507</v>
      </c>
      <c r="C218" s="14" t="s">
        <v>508</v>
      </c>
      <c r="D218" s="13" t="s">
        <v>39</v>
      </c>
      <c r="E218" s="13" t="s">
        <v>40</v>
      </c>
      <c r="F218" s="13">
        <v>2.0</v>
      </c>
      <c r="G218" s="13">
        <v>6.0</v>
      </c>
      <c r="H218" s="13">
        <f t="shared" si="19"/>
        <v>4</v>
      </c>
      <c r="I218" s="15">
        <v>6.0</v>
      </c>
      <c r="J218" s="14" t="s">
        <v>509</v>
      </c>
    </row>
    <row r="219" ht="15.75" customHeight="1">
      <c r="A219" s="9">
        <v>9.0</v>
      </c>
      <c r="B219" s="9" t="s">
        <v>510</v>
      </c>
      <c r="C219" s="10" t="s">
        <v>511</v>
      </c>
      <c r="D219" s="9" t="s">
        <v>28</v>
      </c>
      <c r="E219" s="9" t="s">
        <v>40</v>
      </c>
      <c r="F219" s="9">
        <v>1.0</v>
      </c>
      <c r="G219" s="9">
        <v>0.0</v>
      </c>
      <c r="H219" s="9">
        <f t="shared" si="19"/>
        <v>-1</v>
      </c>
      <c r="I219" s="9" t="s">
        <v>30</v>
      </c>
      <c r="J219" s="10"/>
    </row>
    <row r="220" ht="15.75" customHeight="1">
      <c r="A220" s="9">
        <v>9.0</v>
      </c>
      <c r="B220" s="9" t="s">
        <v>512</v>
      </c>
      <c r="C220" s="10" t="s">
        <v>513</v>
      </c>
      <c r="D220" s="9" t="s">
        <v>70</v>
      </c>
      <c r="E220" s="9" t="s">
        <v>40</v>
      </c>
      <c r="F220" s="9">
        <v>20.0</v>
      </c>
      <c r="G220" s="9">
        <v>20.0</v>
      </c>
      <c r="H220" s="9">
        <f t="shared" si="19"/>
        <v>0</v>
      </c>
      <c r="I220" s="9" t="s">
        <v>30</v>
      </c>
      <c r="J220" s="10" t="s">
        <v>423</v>
      </c>
    </row>
    <row r="221" ht="15.75" customHeight="1">
      <c r="A221" s="9">
        <v>9.0</v>
      </c>
      <c r="B221" s="9" t="s">
        <v>514</v>
      </c>
      <c r="C221" s="10" t="s">
        <v>515</v>
      </c>
      <c r="D221" s="9" t="s">
        <v>28</v>
      </c>
      <c r="E221" s="9" t="s">
        <v>40</v>
      </c>
      <c r="F221" s="9">
        <v>2.0</v>
      </c>
      <c r="G221" s="9">
        <v>3.0</v>
      </c>
      <c r="H221" s="9">
        <f t="shared" si="19"/>
        <v>1</v>
      </c>
      <c r="I221" s="9" t="s">
        <v>30</v>
      </c>
      <c r="J221" s="10"/>
    </row>
    <row r="222" ht="15.75" customHeight="1">
      <c r="A222" s="9">
        <v>9.0</v>
      </c>
      <c r="B222" s="9" t="s">
        <v>516</v>
      </c>
      <c r="C222" s="10" t="s">
        <v>517</v>
      </c>
      <c r="D222" s="9" t="s">
        <v>28</v>
      </c>
      <c r="E222" s="9" t="s">
        <v>40</v>
      </c>
      <c r="F222" s="9">
        <v>2.0</v>
      </c>
      <c r="G222" s="9">
        <v>4.0</v>
      </c>
      <c r="H222" s="9">
        <f t="shared" si="19"/>
        <v>2</v>
      </c>
      <c r="I222" s="9" t="s">
        <v>30</v>
      </c>
      <c r="J222" s="10"/>
    </row>
    <row r="223" ht="15.75" customHeight="1">
      <c r="A223" s="9">
        <v>9.0</v>
      </c>
      <c r="B223" s="9" t="s">
        <v>518</v>
      </c>
      <c r="C223" s="10" t="s">
        <v>519</v>
      </c>
      <c r="D223" s="9" t="s">
        <v>28</v>
      </c>
      <c r="E223" s="9" t="s">
        <v>40</v>
      </c>
      <c r="F223" s="9">
        <v>4.0</v>
      </c>
      <c r="G223" s="9">
        <v>7.0</v>
      </c>
      <c r="H223" s="9">
        <f t="shared" si="19"/>
        <v>3</v>
      </c>
      <c r="I223" s="9" t="s">
        <v>30</v>
      </c>
      <c r="J223" s="10"/>
    </row>
    <row r="224" ht="15.75" customHeight="1">
      <c r="A224" s="11">
        <v>9.0</v>
      </c>
      <c r="B224" s="11" t="s">
        <v>520</v>
      </c>
      <c r="C224" s="12" t="s">
        <v>521</v>
      </c>
      <c r="D224" s="11" t="s">
        <v>39</v>
      </c>
      <c r="E224" s="11" t="s">
        <v>40</v>
      </c>
      <c r="F224" s="11">
        <v>2.0</v>
      </c>
      <c r="G224" s="11" t="s">
        <v>34</v>
      </c>
      <c r="H224" s="11" t="s">
        <v>34</v>
      </c>
      <c r="I224" s="11" t="s">
        <v>35</v>
      </c>
      <c r="J224" s="12" t="s">
        <v>55</v>
      </c>
    </row>
    <row r="225" ht="15.75" customHeight="1">
      <c r="A225" s="11">
        <v>9.0</v>
      </c>
      <c r="B225" s="11" t="s">
        <v>522</v>
      </c>
      <c r="C225" s="12" t="s">
        <v>523</v>
      </c>
      <c r="D225" s="11" t="s">
        <v>28</v>
      </c>
      <c r="E225" s="11" t="s">
        <v>40</v>
      </c>
      <c r="F225" s="11">
        <v>13.0</v>
      </c>
      <c r="G225" s="11" t="s">
        <v>34</v>
      </c>
      <c r="H225" s="11" t="s">
        <v>34</v>
      </c>
      <c r="I225" s="11" t="s">
        <v>35</v>
      </c>
      <c r="J225" s="12" t="s">
        <v>55</v>
      </c>
    </row>
    <row r="226" ht="15.75" customHeight="1">
      <c r="A226" s="9">
        <v>9.0</v>
      </c>
      <c r="B226" s="9" t="s">
        <v>524</v>
      </c>
      <c r="C226" s="10" t="s">
        <v>525</v>
      </c>
      <c r="D226" s="9" t="s">
        <v>28</v>
      </c>
      <c r="E226" s="9" t="s">
        <v>40</v>
      </c>
      <c r="F226" s="9">
        <v>11.0</v>
      </c>
      <c r="G226" s="9">
        <v>11.0</v>
      </c>
      <c r="H226" s="9">
        <f t="shared" ref="H226:H232" si="20">G226-F226</f>
        <v>0</v>
      </c>
      <c r="I226" s="9" t="s">
        <v>30</v>
      </c>
      <c r="J226" s="10" t="s">
        <v>423</v>
      </c>
    </row>
    <row r="227" ht="15.75" customHeight="1">
      <c r="A227" s="9">
        <v>9.0</v>
      </c>
      <c r="B227" s="9" t="s">
        <v>526</v>
      </c>
      <c r="C227" s="10" t="s">
        <v>527</v>
      </c>
      <c r="D227" s="9" t="s">
        <v>58</v>
      </c>
      <c r="E227" s="9" t="s">
        <v>40</v>
      </c>
      <c r="F227" s="9">
        <v>1.0</v>
      </c>
      <c r="G227" s="9">
        <v>1.0</v>
      </c>
      <c r="H227" s="9">
        <f t="shared" si="20"/>
        <v>0</v>
      </c>
      <c r="I227" s="9" t="s">
        <v>30</v>
      </c>
      <c r="J227" s="10"/>
    </row>
    <row r="228" ht="15.75" customHeight="1">
      <c r="A228" s="9">
        <v>9.0</v>
      </c>
      <c r="B228" s="9" t="s">
        <v>528</v>
      </c>
      <c r="C228" s="10" t="s">
        <v>529</v>
      </c>
      <c r="D228" s="9" t="s">
        <v>28</v>
      </c>
      <c r="E228" s="9" t="s">
        <v>40</v>
      </c>
      <c r="F228" s="9">
        <v>8.0</v>
      </c>
      <c r="G228" s="9">
        <v>0.0</v>
      </c>
      <c r="H228" s="9">
        <f t="shared" si="20"/>
        <v>-8</v>
      </c>
      <c r="I228" s="9" t="s">
        <v>30</v>
      </c>
      <c r="J228" s="10" t="s">
        <v>402</v>
      </c>
    </row>
    <row r="229" ht="15.75" customHeight="1">
      <c r="A229" s="9">
        <v>9.0</v>
      </c>
      <c r="B229" s="9" t="s">
        <v>530</v>
      </c>
      <c r="C229" s="10" t="s">
        <v>531</v>
      </c>
      <c r="D229" s="9" t="s">
        <v>28</v>
      </c>
      <c r="E229" s="9" t="s">
        <v>40</v>
      </c>
      <c r="F229" s="9">
        <v>4.0</v>
      </c>
      <c r="G229" s="9">
        <v>2.0</v>
      </c>
      <c r="H229" s="9">
        <f t="shared" si="20"/>
        <v>-2</v>
      </c>
      <c r="I229" s="9" t="s">
        <v>30</v>
      </c>
      <c r="J229" s="10"/>
    </row>
    <row r="230" ht="15.75" customHeight="1">
      <c r="A230" s="9">
        <v>9.0</v>
      </c>
      <c r="B230" s="9" t="s">
        <v>532</v>
      </c>
      <c r="C230" s="10" t="s">
        <v>533</v>
      </c>
      <c r="D230" s="9" t="s">
        <v>28</v>
      </c>
      <c r="E230" s="9" t="s">
        <v>40</v>
      </c>
      <c r="F230" s="9">
        <v>1.0</v>
      </c>
      <c r="G230" s="9">
        <v>1.0</v>
      </c>
      <c r="H230" s="9">
        <f t="shared" si="20"/>
        <v>0</v>
      </c>
      <c r="I230" s="9" t="s">
        <v>30</v>
      </c>
      <c r="J230" s="10" t="s">
        <v>423</v>
      </c>
    </row>
    <row r="231" ht="15.75" customHeight="1">
      <c r="A231" s="9">
        <v>9.0</v>
      </c>
      <c r="B231" s="9" t="s">
        <v>534</v>
      </c>
      <c r="C231" s="10" t="s">
        <v>535</v>
      </c>
      <c r="D231" s="9" t="s">
        <v>28</v>
      </c>
      <c r="E231" s="9" t="s">
        <v>40</v>
      </c>
      <c r="F231" s="9">
        <v>1.0</v>
      </c>
      <c r="G231" s="9">
        <v>1.0</v>
      </c>
      <c r="H231" s="9">
        <f t="shared" si="20"/>
        <v>0</v>
      </c>
      <c r="I231" s="9" t="s">
        <v>30</v>
      </c>
      <c r="J231" s="10" t="s">
        <v>423</v>
      </c>
    </row>
    <row r="232" ht="15.75" customHeight="1">
      <c r="A232" s="9">
        <v>9.0</v>
      </c>
      <c r="B232" s="9" t="s">
        <v>536</v>
      </c>
      <c r="C232" s="10" t="s">
        <v>537</v>
      </c>
      <c r="D232" s="9" t="s">
        <v>28</v>
      </c>
      <c r="E232" s="9" t="s">
        <v>40</v>
      </c>
      <c r="F232" s="9">
        <v>2.0</v>
      </c>
      <c r="G232" s="9">
        <v>4.0</v>
      </c>
      <c r="H232" s="9">
        <f t="shared" si="20"/>
        <v>2</v>
      </c>
      <c r="I232" s="9" t="s">
        <v>30</v>
      </c>
      <c r="J232" s="10"/>
    </row>
    <row r="233" ht="15.75" customHeight="1">
      <c r="A233" s="11">
        <v>9.0</v>
      </c>
      <c r="B233" s="11" t="s">
        <v>538</v>
      </c>
      <c r="C233" s="12" t="s">
        <v>539</v>
      </c>
      <c r="D233" s="11" t="s">
        <v>28</v>
      </c>
      <c r="E233" s="11" t="s">
        <v>40</v>
      </c>
      <c r="F233" s="11">
        <v>4.0</v>
      </c>
      <c r="G233" s="11" t="s">
        <v>34</v>
      </c>
      <c r="H233" s="11" t="s">
        <v>34</v>
      </c>
      <c r="I233" s="11" t="s">
        <v>35</v>
      </c>
      <c r="J233" s="12" t="s">
        <v>540</v>
      </c>
    </row>
    <row r="234" ht="15.75" customHeight="1">
      <c r="A234" s="11">
        <v>9.0</v>
      </c>
      <c r="B234" s="11" t="s">
        <v>541</v>
      </c>
      <c r="C234" s="12" t="s">
        <v>542</v>
      </c>
      <c r="D234" s="11" t="s">
        <v>28</v>
      </c>
      <c r="E234" s="11" t="s">
        <v>40</v>
      </c>
      <c r="F234" s="11">
        <v>136.0</v>
      </c>
      <c r="G234" s="11" t="s">
        <v>34</v>
      </c>
      <c r="H234" s="11" t="s">
        <v>34</v>
      </c>
      <c r="I234" s="11" t="s">
        <v>35</v>
      </c>
      <c r="J234" s="12" t="s">
        <v>543</v>
      </c>
    </row>
    <row r="235" ht="15.75" customHeight="1">
      <c r="A235" s="9">
        <v>9.0</v>
      </c>
      <c r="B235" s="9" t="s">
        <v>544</v>
      </c>
      <c r="C235" s="10" t="s">
        <v>545</v>
      </c>
      <c r="D235" s="9" t="s">
        <v>28</v>
      </c>
      <c r="E235" s="9" t="s">
        <v>40</v>
      </c>
      <c r="F235" s="9">
        <v>4.0</v>
      </c>
      <c r="G235" s="9">
        <v>4.0</v>
      </c>
      <c r="H235" s="9">
        <f>G235-F235</f>
        <v>0</v>
      </c>
      <c r="I235" s="9" t="s">
        <v>30</v>
      </c>
      <c r="J235" s="10" t="s">
        <v>423</v>
      </c>
    </row>
    <row r="236" ht="15.75" customHeight="1">
      <c r="A236" s="11">
        <v>9.0</v>
      </c>
      <c r="B236" s="11" t="s">
        <v>546</v>
      </c>
      <c r="C236" s="12" t="s">
        <v>547</v>
      </c>
      <c r="D236" s="11" t="s">
        <v>70</v>
      </c>
      <c r="E236" s="11" t="s">
        <v>40</v>
      </c>
      <c r="F236" s="11">
        <v>1.0</v>
      </c>
      <c r="G236" s="11" t="s">
        <v>34</v>
      </c>
      <c r="H236" s="11" t="s">
        <v>34</v>
      </c>
      <c r="I236" s="11" t="s">
        <v>35</v>
      </c>
      <c r="J236" s="12" t="s">
        <v>55</v>
      </c>
    </row>
    <row r="237" ht="15.75" customHeight="1">
      <c r="A237" s="11">
        <v>10.0</v>
      </c>
      <c r="B237" s="11" t="s">
        <v>548</v>
      </c>
      <c r="C237" s="12" t="s">
        <v>549</v>
      </c>
      <c r="D237" s="11" t="s">
        <v>70</v>
      </c>
      <c r="E237" s="11" t="s">
        <v>40</v>
      </c>
      <c r="F237" s="11">
        <v>1.0</v>
      </c>
      <c r="G237" s="11" t="s">
        <v>34</v>
      </c>
      <c r="H237" s="11" t="s">
        <v>34</v>
      </c>
      <c r="I237" s="11" t="s">
        <v>35</v>
      </c>
      <c r="J237" s="12" t="s">
        <v>55</v>
      </c>
    </row>
    <row r="238" ht="15.75" customHeight="1">
      <c r="A238" s="9">
        <v>10.0</v>
      </c>
      <c r="B238" s="9" t="s">
        <v>550</v>
      </c>
      <c r="C238" s="10" t="s">
        <v>551</v>
      </c>
      <c r="D238" s="9" t="s">
        <v>28</v>
      </c>
      <c r="E238" s="9" t="s">
        <v>40</v>
      </c>
      <c r="F238" s="9">
        <v>6.0</v>
      </c>
      <c r="G238" s="9">
        <v>5.0</v>
      </c>
      <c r="H238" s="9">
        <f t="shared" ref="H238:H254" si="21">G238-F238</f>
        <v>-1</v>
      </c>
      <c r="I238" s="9" t="s">
        <v>30</v>
      </c>
      <c r="J238" s="10"/>
    </row>
    <row r="239" ht="15.75" customHeight="1">
      <c r="A239" s="9">
        <v>10.0</v>
      </c>
      <c r="B239" s="9" t="s">
        <v>552</v>
      </c>
      <c r="C239" s="10" t="s">
        <v>553</v>
      </c>
      <c r="D239" s="9" t="s">
        <v>28</v>
      </c>
      <c r="E239" s="9" t="s">
        <v>40</v>
      </c>
      <c r="F239" s="9">
        <v>13.0</v>
      </c>
      <c r="G239" s="9">
        <v>4.0</v>
      </c>
      <c r="H239" s="9">
        <f t="shared" si="21"/>
        <v>-9</v>
      </c>
      <c r="I239" s="9" t="s">
        <v>30</v>
      </c>
      <c r="J239" s="10"/>
    </row>
    <row r="240" ht="15.75" customHeight="1">
      <c r="A240" s="9">
        <v>10.0</v>
      </c>
      <c r="B240" s="9" t="s">
        <v>554</v>
      </c>
      <c r="C240" s="10" t="s">
        <v>555</v>
      </c>
      <c r="D240" s="9" t="s">
        <v>58</v>
      </c>
      <c r="E240" s="9" t="s">
        <v>40</v>
      </c>
      <c r="F240" s="9">
        <v>1.0</v>
      </c>
      <c r="G240" s="9">
        <v>1.0</v>
      </c>
      <c r="H240" s="9">
        <f t="shared" si="21"/>
        <v>0</v>
      </c>
      <c r="I240" s="9" t="s">
        <v>30</v>
      </c>
      <c r="J240" s="10" t="s">
        <v>423</v>
      </c>
    </row>
    <row r="241" ht="15.75" customHeight="1">
      <c r="A241" s="9">
        <v>10.0</v>
      </c>
      <c r="B241" s="9" t="s">
        <v>556</v>
      </c>
      <c r="C241" s="10" t="s">
        <v>557</v>
      </c>
      <c r="D241" s="9" t="s">
        <v>70</v>
      </c>
      <c r="E241" s="9" t="s">
        <v>40</v>
      </c>
      <c r="F241" s="9">
        <v>1.0</v>
      </c>
      <c r="G241" s="9">
        <v>1.0</v>
      </c>
      <c r="H241" s="9">
        <f t="shared" si="21"/>
        <v>0</v>
      </c>
      <c r="I241" s="9" t="s">
        <v>30</v>
      </c>
      <c r="J241" s="10" t="s">
        <v>423</v>
      </c>
    </row>
    <row r="242" ht="15.75" customHeight="1">
      <c r="A242" s="9">
        <v>10.0</v>
      </c>
      <c r="B242" s="9" t="s">
        <v>558</v>
      </c>
      <c r="C242" s="10" t="s">
        <v>559</v>
      </c>
      <c r="D242" s="9" t="s">
        <v>39</v>
      </c>
      <c r="E242" s="9" t="s">
        <v>40</v>
      </c>
      <c r="F242" s="9">
        <v>1.0</v>
      </c>
      <c r="G242" s="9">
        <v>2.0</v>
      </c>
      <c r="H242" s="9">
        <f t="shared" si="21"/>
        <v>1</v>
      </c>
      <c r="I242" s="9" t="s">
        <v>30</v>
      </c>
      <c r="J242" s="10"/>
    </row>
    <row r="243" ht="15.75" customHeight="1">
      <c r="A243" s="9">
        <v>10.0</v>
      </c>
      <c r="B243" s="9" t="s">
        <v>560</v>
      </c>
      <c r="C243" s="10" t="s">
        <v>561</v>
      </c>
      <c r="D243" s="9" t="s">
        <v>28</v>
      </c>
      <c r="E243" s="9" t="s">
        <v>40</v>
      </c>
      <c r="F243" s="9">
        <v>3.0</v>
      </c>
      <c r="G243" s="9">
        <v>0.0</v>
      </c>
      <c r="H243" s="9">
        <f t="shared" si="21"/>
        <v>-3</v>
      </c>
      <c r="I243" s="9" t="s">
        <v>30</v>
      </c>
      <c r="J243" s="10"/>
    </row>
    <row r="244" ht="15.75" customHeight="1">
      <c r="A244" s="9">
        <v>10.0</v>
      </c>
      <c r="B244" s="9" t="s">
        <v>562</v>
      </c>
      <c r="C244" s="10" t="s">
        <v>563</v>
      </c>
      <c r="D244" s="9" t="s">
        <v>28</v>
      </c>
      <c r="E244" s="9" t="s">
        <v>40</v>
      </c>
      <c r="F244" s="9">
        <v>1.0</v>
      </c>
      <c r="G244" s="9">
        <v>0.0</v>
      </c>
      <c r="H244" s="9">
        <f t="shared" si="21"/>
        <v>-1</v>
      </c>
      <c r="I244" s="9" t="s">
        <v>30</v>
      </c>
      <c r="J244" s="10"/>
    </row>
    <row r="245" ht="15.75" customHeight="1">
      <c r="A245" s="9">
        <v>10.0</v>
      </c>
      <c r="B245" s="9" t="s">
        <v>564</v>
      </c>
      <c r="C245" s="10" t="s">
        <v>565</v>
      </c>
      <c r="D245" s="9" t="s">
        <v>28</v>
      </c>
      <c r="E245" s="9" t="s">
        <v>40</v>
      </c>
      <c r="F245" s="9">
        <v>1.0</v>
      </c>
      <c r="G245" s="9">
        <v>0.0</v>
      </c>
      <c r="H245" s="9">
        <f t="shared" si="21"/>
        <v>-1</v>
      </c>
      <c r="I245" s="9" t="s">
        <v>30</v>
      </c>
      <c r="J245" s="10"/>
    </row>
    <row r="246" ht="15.75" customHeight="1">
      <c r="A246" s="9">
        <v>10.0</v>
      </c>
      <c r="B246" s="9" t="s">
        <v>566</v>
      </c>
      <c r="C246" s="10" t="s">
        <v>567</v>
      </c>
      <c r="D246" s="9" t="s">
        <v>28</v>
      </c>
      <c r="E246" s="9" t="s">
        <v>40</v>
      </c>
      <c r="F246" s="9">
        <v>1.0</v>
      </c>
      <c r="G246" s="9">
        <v>1.0</v>
      </c>
      <c r="H246" s="9">
        <f t="shared" si="21"/>
        <v>0</v>
      </c>
      <c r="I246" s="9" t="s">
        <v>30</v>
      </c>
      <c r="J246" s="10" t="s">
        <v>423</v>
      </c>
    </row>
    <row r="247" ht="15.75" customHeight="1">
      <c r="A247" s="9">
        <v>10.0</v>
      </c>
      <c r="B247" s="9" t="s">
        <v>568</v>
      </c>
      <c r="C247" s="10" t="s">
        <v>569</v>
      </c>
      <c r="D247" s="9" t="s">
        <v>70</v>
      </c>
      <c r="E247" s="9" t="s">
        <v>40</v>
      </c>
      <c r="F247" s="9">
        <v>1.0</v>
      </c>
      <c r="G247" s="9">
        <v>1.0</v>
      </c>
      <c r="H247" s="9">
        <f t="shared" si="21"/>
        <v>0</v>
      </c>
      <c r="I247" s="9" t="s">
        <v>30</v>
      </c>
      <c r="J247" s="10" t="s">
        <v>423</v>
      </c>
    </row>
    <row r="248" ht="15.75" customHeight="1">
      <c r="A248" s="9">
        <v>10.0</v>
      </c>
      <c r="B248" s="9" t="s">
        <v>570</v>
      </c>
      <c r="C248" s="10" t="s">
        <v>571</v>
      </c>
      <c r="D248" s="9" t="s">
        <v>28</v>
      </c>
      <c r="E248" s="9" t="s">
        <v>40</v>
      </c>
      <c r="F248" s="9">
        <v>10.0</v>
      </c>
      <c r="G248" s="9">
        <v>6.0</v>
      </c>
      <c r="H248" s="9">
        <f t="shared" si="21"/>
        <v>-4</v>
      </c>
      <c r="I248" s="9" t="s">
        <v>30</v>
      </c>
      <c r="J248" s="10"/>
    </row>
    <row r="249" ht="15.75" customHeight="1">
      <c r="A249" s="9">
        <v>10.0</v>
      </c>
      <c r="B249" s="9" t="s">
        <v>572</v>
      </c>
      <c r="C249" s="10" t="s">
        <v>573</v>
      </c>
      <c r="D249" s="9" t="s">
        <v>28</v>
      </c>
      <c r="E249" s="9" t="s">
        <v>40</v>
      </c>
      <c r="F249" s="9">
        <v>1.0</v>
      </c>
      <c r="G249" s="9">
        <v>1.0</v>
      </c>
      <c r="H249" s="9">
        <f t="shared" si="21"/>
        <v>0</v>
      </c>
      <c r="I249" s="9" t="s">
        <v>30</v>
      </c>
      <c r="J249" s="10" t="s">
        <v>423</v>
      </c>
    </row>
    <row r="250" ht="15.75" customHeight="1">
      <c r="A250" s="9">
        <v>10.0</v>
      </c>
      <c r="B250" s="9" t="s">
        <v>574</v>
      </c>
      <c r="C250" s="10" t="s">
        <v>575</v>
      </c>
      <c r="D250" s="9" t="s">
        <v>28</v>
      </c>
      <c r="E250" s="9" t="s">
        <v>40</v>
      </c>
      <c r="F250" s="9">
        <v>3.0</v>
      </c>
      <c r="G250" s="9">
        <v>7.0</v>
      </c>
      <c r="H250" s="9">
        <f t="shared" si="21"/>
        <v>4</v>
      </c>
      <c r="I250" s="9" t="s">
        <v>30</v>
      </c>
      <c r="J250" s="10"/>
    </row>
    <row r="251" ht="15.75" customHeight="1">
      <c r="A251" s="9">
        <v>10.0</v>
      </c>
      <c r="B251" s="9" t="s">
        <v>576</v>
      </c>
      <c r="C251" s="10" t="s">
        <v>577</v>
      </c>
      <c r="D251" s="9" t="s">
        <v>28</v>
      </c>
      <c r="E251" s="9" t="s">
        <v>40</v>
      </c>
      <c r="F251" s="9">
        <v>1.0</v>
      </c>
      <c r="G251" s="9">
        <v>0.0</v>
      </c>
      <c r="H251" s="9">
        <f t="shared" si="21"/>
        <v>-1</v>
      </c>
      <c r="I251" s="9" t="s">
        <v>30</v>
      </c>
      <c r="J251" s="10" t="s">
        <v>402</v>
      </c>
    </row>
    <row r="252" ht="15.75" customHeight="1">
      <c r="A252" s="9">
        <v>10.0</v>
      </c>
      <c r="B252" s="9" t="s">
        <v>578</v>
      </c>
      <c r="C252" s="10" t="s">
        <v>579</v>
      </c>
      <c r="D252" s="9" t="s">
        <v>28</v>
      </c>
      <c r="E252" s="9" t="s">
        <v>40</v>
      </c>
      <c r="F252" s="9">
        <v>1.0</v>
      </c>
      <c r="G252" s="9">
        <v>1.0</v>
      </c>
      <c r="H252" s="9">
        <f t="shared" si="21"/>
        <v>0</v>
      </c>
      <c r="I252" s="9" t="s">
        <v>30</v>
      </c>
      <c r="J252" s="10" t="s">
        <v>423</v>
      </c>
    </row>
    <row r="253" ht="15.75" customHeight="1">
      <c r="A253" s="9">
        <v>10.0</v>
      </c>
      <c r="B253" s="9" t="s">
        <v>580</v>
      </c>
      <c r="C253" s="10" t="s">
        <v>581</v>
      </c>
      <c r="D253" s="9" t="s">
        <v>28</v>
      </c>
      <c r="E253" s="9" t="s">
        <v>40</v>
      </c>
      <c r="F253" s="9">
        <v>1.0</v>
      </c>
      <c r="G253" s="9">
        <v>1.0</v>
      </c>
      <c r="H253" s="9">
        <f t="shared" si="21"/>
        <v>0</v>
      </c>
      <c r="I253" s="9" t="s">
        <v>30</v>
      </c>
      <c r="J253" s="10" t="s">
        <v>423</v>
      </c>
    </row>
    <row r="254" ht="15.75" customHeight="1">
      <c r="A254" s="9">
        <v>10.0</v>
      </c>
      <c r="B254" s="9" t="s">
        <v>582</v>
      </c>
      <c r="C254" s="10" t="s">
        <v>583</v>
      </c>
      <c r="D254" s="9" t="s">
        <v>28</v>
      </c>
      <c r="E254" s="9" t="s">
        <v>40</v>
      </c>
      <c r="F254" s="9">
        <v>3.0</v>
      </c>
      <c r="G254" s="9">
        <v>4.0</v>
      </c>
      <c r="H254" s="9">
        <f t="shared" si="21"/>
        <v>1</v>
      </c>
      <c r="I254" s="9" t="s">
        <v>30</v>
      </c>
      <c r="J254" s="10"/>
    </row>
    <row r="255" ht="15.75" customHeight="1">
      <c r="A255" s="11">
        <v>10.0</v>
      </c>
      <c r="B255" s="11" t="s">
        <v>584</v>
      </c>
      <c r="C255" s="12" t="s">
        <v>585</v>
      </c>
      <c r="D255" s="11" t="s">
        <v>70</v>
      </c>
      <c r="E255" s="11" t="s">
        <v>40</v>
      </c>
      <c r="F255" s="11">
        <v>12.0</v>
      </c>
      <c r="G255" s="11" t="s">
        <v>34</v>
      </c>
      <c r="H255" s="11" t="s">
        <v>34</v>
      </c>
      <c r="I255" s="11" t="s">
        <v>35</v>
      </c>
      <c r="J255" s="12" t="s">
        <v>55</v>
      </c>
    </row>
    <row r="256" ht="15.75" customHeight="1">
      <c r="A256" s="9">
        <v>10.0</v>
      </c>
      <c r="B256" s="9" t="s">
        <v>586</v>
      </c>
      <c r="C256" s="10" t="s">
        <v>587</v>
      </c>
      <c r="D256" s="9" t="s">
        <v>70</v>
      </c>
      <c r="E256" s="9" t="s">
        <v>40</v>
      </c>
      <c r="F256" s="9">
        <v>1.0</v>
      </c>
      <c r="G256" s="9">
        <v>1.0</v>
      </c>
      <c r="H256" s="9">
        <f t="shared" ref="H256:H261" si="22">G256-F256</f>
        <v>0</v>
      </c>
      <c r="I256" s="9" t="s">
        <v>30</v>
      </c>
      <c r="J256" s="10" t="s">
        <v>423</v>
      </c>
    </row>
    <row r="257" ht="15.75" customHeight="1">
      <c r="A257" s="9">
        <v>10.0</v>
      </c>
      <c r="B257" s="9" t="s">
        <v>588</v>
      </c>
      <c r="C257" s="10" t="s">
        <v>589</v>
      </c>
      <c r="D257" s="9" t="s">
        <v>28</v>
      </c>
      <c r="E257" s="9" t="s">
        <v>40</v>
      </c>
      <c r="F257" s="9">
        <v>1.0</v>
      </c>
      <c r="G257" s="9">
        <v>10.0</v>
      </c>
      <c r="H257" s="9">
        <f t="shared" si="22"/>
        <v>9</v>
      </c>
      <c r="I257" s="9" t="s">
        <v>30</v>
      </c>
      <c r="J257" s="10"/>
    </row>
    <row r="258" ht="15.75" customHeight="1">
      <c r="A258" s="9">
        <v>10.0</v>
      </c>
      <c r="B258" s="9" t="s">
        <v>590</v>
      </c>
      <c r="C258" s="10" t="s">
        <v>591</v>
      </c>
      <c r="D258" s="9" t="s">
        <v>70</v>
      </c>
      <c r="E258" s="9" t="s">
        <v>40</v>
      </c>
      <c r="F258" s="9">
        <v>2.0</v>
      </c>
      <c r="G258" s="9">
        <v>1.0</v>
      </c>
      <c r="H258" s="9">
        <f t="shared" si="22"/>
        <v>-1</v>
      </c>
      <c r="I258" s="9" t="s">
        <v>30</v>
      </c>
      <c r="J258" s="10"/>
    </row>
    <row r="259" ht="15.75" customHeight="1">
      <c r="A259" s="9">
        <v>10.0</v>
      </c>
      <c r="B259" s="9" t="s">
        <v>592</v>
      </c>
      <c r="C259" s="10" t="s">
        <v>593</v>
      </c>
      <c r="D259" s="9" t="s">
        <v>70</v>
      </c>
      <c r="E259" s="9" t="s">
        <v>40</v>
      </c>
      <c r="F259" s="9">
        <v>2.0</v>
      </c>
      <c r="G259" s="9">
        <v>1.0</v>
      </c>
      <c r="H259" s="9">
        <f t="shared" si="22"/>
        <v>-1</v>
      </c>
      <c r="I259" s="9" t="s">
        <v>30</v>
      </c>
      <c r="J259" s="10"/>
    </row>
    <row r="260" ht="15.75" customHeight="1">
      <c r="A260" s="9">
        <v>10.0</v>
      </c>
      <c r="B260" s="9" t="s">
        <v>594</v>
      </c>
      <c r="C260" s="10" t="s">
        <v>595</v>
      </c>
      <c r="D260" s="9" t="s">
        <v>28</v>
      </c>
      <c r="E260" s="9" t="s">
        <v>29</v>
      </c>
      <c r="F260" s="9">
        <v>1.04</v>
      </c>
      <c r="G260" s="9">
        <v>1.0</v>
      </c>
      <c r="H260" s="9">
        <f t="shared" si="22"/>
        <v>-0.04</v>
      </c>
      <c r="I260" s="9" t="s">
        <v>30</v>
      </c>
      <c r="J260" s="10"/>
    </row>
    <row r="261" ht="15.75" customHeight="1">
      <c r="A261" s="9">
        <v>11.0</v>
      </c>
      <c r="B261" s="9" t="s">
        <v>596</v>
      </c>
      <c r="C261" s="10" t="s">
        <v>597</v>
      </c>
      <c r="D261" s="9" t="s">
        <v>28</v>
      </c>
      <c r="E261" s="9" t="s">
        <v>40</v>
      </c>
      <c r="F261" s="9">
        <v>3.0</v>
      </c>
      <c r="G261" s="9">
        <v>8.0</v>
      </c>
      <c r="H261" s="9">
        <f t="shared" si="22"/>
        <v>5</v>
      </c>
      <c r="I261" s="9" t="s">
        <v>30</v>
      </c>
      <c r="J261" s="10"/>
    </row>
    <row r="262" ht="15.75" customHeight="1"/>
    <row r="263" ht="15.75" customHeight="1">
      <c r="C263" s="18" t="s">
        <v>598</v>
      </c>
    </row>
    <row r="264" ht="15.75" customHeight="1">
      <c r="C264" s="19" t="s">
        <v>599</v>
      </c>
      <c r="D264" s="19">
        <f>COUNTA(C2:C261)</f>
        <v>260</v>
      </c>
    </row>
    <row r="265" ht="15.75" customHeight="1">
      <c r="C265" s="20" t="s">
        <v>600</v>
      </c>
      <c r="D265" s="20">
        <f>COUNTIF(I2:I261,"OK")</f>
        <v>198</v>
      </c>
    </row>
    <row r="266" ht="15.75" customHeight="1">
      <c r="C266" s="21" t="s">
        <v>601</v>
      </c>
      <c r="D266" s="21">
        <f>COUNTIF(I2:I261,"Verificar")</f>
        <v>10</v>
      </c>
    </row>
    <row r="267" ht="15.75" customHeight="1">
      <c r="C267" s="22" t="s">
        <v>602</v>
      </c>
      <c r="D267" s="22">
        <f>COUNTIF(I2:I261,"Nao contado")</f>
        <v>43</v>
      </c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26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0.0"/>
    <col customWidth="1" min="3" max="3" width="20.0"/>
    <col customWidth="1" min="4" max="4" width="18.0"/>
    <col customWidth="1" min="5" max="5" width="70.0"/>
    <col customWidth="1" min="6" max="26" width="8.71"/>
  </cols>
  <sheetData>
    <row r="1">
      <c r="A1" s="8" t="s">
        <v>16</v>
      </c>
      <c r="B1" s="8" t="s">
        <v>603</v>
      </c>
      <c r="C1" s="8" t="s">
        <v>604</v>
      </c>
      <c r="D1" s="8" t="s">
        <v>605</v>
      </c>
      <c r="E1" s="8" t="s">
        <v>25</v>
      </c>
    </row>
    <row r="2">
      <c r="A2" s="23">
        <v>1.0</v>
      </c>
      <c r="B2" s="24" t="s">
        <v>606</v>
      </c>
      <c r="C2" s="23" t="s">
        <v>607</v>
      </c>
      <c r="D2" s="23">
        <v>7.0</v>
      </c>
      <c r="E2" s="24" t="s">
        <v>608</v>
      </c>
    </row>
    <row r="3">
      <c r="A3" s="23">
        <v>1.0</v>
      </c>
      <c r="B3" s="24" t="s">
        <v>609</v>
      </c>
      <c r="C3" s="23" t="s">
        <v>607</v>
      </c>
      <c r="D3" s="23">
        <v>2.0</v>
      </c>
      <c r="E3" s="24" t="s">
        <v>610</v>
      </c>
    </row>
    <row r="4">
      <c r="A4" s="23">
        <v>2.0</v>
      </c>
      <c r="B4" s="24" t="s">
        <v>611</v>
      </c>
      <c r="C4" s="23" t="s">
        <v>607</v>
      </c>
      <c r="D4" s="23">
        <v>6.0</v>
      </c>
      <c r="E4" s="24"/>
    </row>
    <row r="5">
      <c r="A5" s="23">
        <v>2.0</v>
      </c>
      <c r="B5" s="24" t="s">
        <v>612</v>
      </c>
      <c r="C5" s="23" t="s">
        <v>607</v>
      </c>
      <c r="D5" s="23">
        <v>25.0</v>
      </c>
      <c r="E5" s="24"/>
    </row>
    <row r="6">
      <c r="A6" s="23">
        <v>2.0</v>
      </c>
      <c r="B6" s="24" t="s">
        <v>344</v>
      </c>
      <c r="C6" s="23" t="s">
        <v>607</v>
      </c>
      <c r="D6" s="23">
        <v>57.0</v>
      </c>
      <c r="E6" s="24" t="s">
        <v>613</v>
      </c>
    </row>
    <row r="7">
      <c r="A7" s="23">
        <v>2.0</v>
      </c>
      <c r="B7" s="24" t="s">
        <v>614</v>
      </c>
      <c r="C7" s="23" t="s">
        <v>607</v>
      </c>
      <c r="D7" s="23">
        <v>5.0</v>
      </c>
      <c r="E7" s="24"/>
    </row>
    <row r="8">
      <c r="A8" s="23">
        <v>2.0</v>
      </c>
      <c r="B8" s="24" t="s">
        <v>615</v>
      </c>
      <c r="C8" s="23" t="s">
        <v>607</v>
      </c>
      <c r="D8" s="23">
        <v>5.0</v>
      </c>
      <c r="E8" s="24"/>
    </row>
    <row r="9">
      <c r="A9" s="23">
        <v>3.0</v>
      </c>
      <c r="B9" s="24" t="s">
        <v>616</v>
      </c>
      <c r="C9" s="23" t="s">
        <v>607</v>
      </c>
      <c r="D9" s="23">
        <v>4.0</v>
      </c>
      <c r="E9" s="24" t="s">
        <v>617</v>
      </c>
    </row>
    <row r="10">
      <c r="A10" s="23">
        <v>5.0</v>
      </c>
      <c r="B10" s="24" t="s">
        <v>618</v>
      </c>
      <c r="C10" s="23" t="s">
        <v>607</v>
      </c>
      <c r="D10" s="23">
        <v>5.0</v>
      </c>
      <c r="E10" s="24" t="s">
        <v>619</v>
      </c>
    </row>
    <row r="11">
      <c r="A11" s="23">
        <v>6.0</v>
      </c>
      <c r="B11" s="24" t="s">
        <v>620</v>
      </c>
      <c r="C11" s="23" t="s">
        <v>607</v>
      </c>
      <c r="D11" s="23">
        <v>6.0</v>
      </c>
      <c r="E11" s="24" t="s">
        <v>621</v>
      </c>
    </row>
    <row r="12">
      <c r="A12" s="23">
        <v>7.0</v>
      </c>
      <c r="B12" s="24" t="s">
        <v>622</v>
      </c>
      <c r="C12" s="23" t="s">
        <v>607</v>
      </c>
      <c r="D12" s="23">
        <v>1.0</v>
      </c>
      <c r="E12" s="24" t="s">
        <v>623</v>
      </c>
    </row>
    <row r="13">
      <c r="A13" s="23">
        <v>10.0</v>
      </c>
      <c r="B13" s="24" t="s">
        <v>624</v>
      </c>
      <c r="C13" s="23" t="s">
        <v>607</v>
      </c>
      <c r="D13" s="23">
        <v>6.0</v>
      </c>
      <c r="E13" s="24"/>
    </row>
    <row r="14">
      <c r="A14" s="23">
        <v>10.0</v>
      </c>
      <c r="B14" s="24" t="s">
        <v>625</v>
      </c>
      <c r="C14" s="23" t="s">
        <v>607</v>
      </c>
      <c r="D14" s="23">
        <v>6.0</v>
      </c>
      <c r="E14" s="24" t="s">
        <v>626</v>
      </c>
    </row>
    <row r="15">
      <c r="A15" s="23">
        <v>11.0</v>
      </c>
      <c r="B15" s="24" t="s">
        <v>627</v>
      </c>
      <c r="C15" s="23" t="s">
        <v>607</v>
      </c>
      <c r="D15" s="23">
        <v>1.0</v>
      </c>
      <c r="E15" s="24"/>
    </row>
    <row r="16">
      <c r="A16" s="23">
        <v>11.0</v>
      </c>
      <c r="B16" s="24" t="s">
        <v>628</v>
      </c>
      <c r="C16" s="23" t="s">
        <v>607</v>
      </c>
      <c r="D16" s="23">
        <v>2.0</v>
      </c>
      <c r="E16" s="24"/>
    </row>
    <row r="17">
      <c r="A17" s="23">
        <v>11.0</v>
      </c>
      <c r="B17" s="24" t="s">
        <v>629</v>
      </c>
      <c r="C17" s="23" t="s">
        <v>607</v>
      </c>
      <c r="D17" s="23">
        <v>6.0</v>
      </c>
      <c r="E17" s="24" t="s">
        <v>630</v>
      </c>
    </row>
    <row r="18">
      <c r="A18" s="23">
        <v>11.0</v>
      </c>
      <c r="B18" s="24" t="s">
        <v>631</v>
      </c>
      <c r="C18" s="23" t="s">
        <v>607</v>
      </c>
      <c r="D18" s="23">
        <v>7.0</v>
      </c>
      <c r="E18" s="24" t="s">
        <v>632</v>
      </c>
    </row>
    <row r="19">
      <c r="A19" s="23">
        <v>11.0</v>
      </c>
      <c r="B19" s="24" t="s">
        <v>633</v>
      </c>
      <c r="C19" s="23" t="s">
        <v>607</v>
      </c>
      <c r="D19" s="23">
        <v>3.0</v>
      </c>
      <c r="E19" s="24"/>
    </row>
    <row r="20">
      <c r="A20" s="23">
        <v>11.0</v>
      </c>
      <c r="B20" s="24" t="s">
        <v>634</v>
      </c>
      <c r="C20" s="23" t="s">
        <v>607</v>
      </c>
      <c r="D20" s="23">
        <v>4.0</v>
      </c>
      <c r="E20" s="24"/>
    </row>
    <row r="21" ht="15.75" customHeight="1">
      <c r="A21" s="23">
        <v>11.0</v>
      </c>
      <c r="B21" s="24" t="s">
        <v>635</v>
      </c>
      <c r="C21" s="23" t="s">
        <v>607</v>
      </c>
      <c r="D21" s="23">
        <v>2.0</v>
      </c>
      <c r="E21" s="24"/>
    </row>
    <row r="22" ht="15.75" customHeight="1">
      <c r="A22" s="23">
        <v>11.0</v>
      </c>
      <c r="B22" s="24" t="s">
        <v>636</v>
      </c>
      <c r="C22" s="23" t="s">
        <v>607</v>
      </c>
      <c r="D22" s="23">
        <v>18.0</v>
      </c>
      <c r="E22" s="24"/>
    </row>
    <row r="23" ht="15.75" customHeight="1">
      <c r="A23" s="23">
        <v>11.0</v>
      </c>
      <c r="B23" s="24" t="s">
        <v>637</v>
      </c>
      <c r="C23" s="23" t="s">
        <v>607</v>
      </c>
      <c r="D23" s="23">
        <v>13.0</v>
      </c>
      <c r="E23" s="24" t="s">
        <v>638</v>
      </c>
    </row>
    <row r="24" ht="15.75" customHeight="1">
      <c r="A24" s="23">
        <v>11.0</v>
      </c>
      <c r="B24" s="24" t="s">
        <v>639</v>
      </c>
      <c r="C24" s="23" t="s">
        <v>607</v>
      </c>
      <c r="D24" s="23">
        <v>3.0</v>
      </c>
      <c r="E24" s="24"/>
    </row>
    <row r="25" ht="15.75" customHeight="1">
      <c r="A25" s="23">
        <v>11.0</v>
      </c>
      <c r="B25" s="24" t="s">
        <v>640</v>
      </c>
      <c r="C25" s="23" t="s">
        <v>607</v>
      </c>
      <c r="D25" s="23">
        <v>2.0</v>
      </c>
      <c r="E25" s="24"/>
    </row>
    <row r="26" ht="15.75" customHeight="1">
      <c r="A26" s="23">
        <v>11.0</v>
      </c>
      <c r="B26" s="24" t="s">
        <v>641</v>
      </c>
      <c r="C26" s="23" t="s">
        <v>607</v>
      </c>
      <c r="D26" s="23">
        <v>3.0</v>
      </c>
      <c r="E26" s="24" t="s">
        <v>642</v>
      </c>
    </row>
    <row r="27" ht="15.75" customHeight="1">
      <c r="A27" s="23">
        <v>11.0</v>
      </c>
      <c r="B27" s="24" t="s">
        <v>643</v>
      </c>
      <c r="C27" s="23" t="s">
        <v>607</v>
      </c>
      <c r="D27" s="23">
        <v>2.0</v>
      </c>
      <c r="E27" s="24"/>
    </row>
    <row r="28" ht="15.75" customHeight="1">
      <c r="A28" s="23">
        <v>11.0</v>
      </c>
      <c r="B28" s="24" t="s">
        <v>644</v>
      </c>
      <c r="C28" s="23" t="s">
        <v>607</v>
      </c>
      <c r="D28" s="23">
        <v>2.0</v>
      </c>
      <c r="E28" s="24"/>
    </row>
    <row r="29" ht="15.75" customHeight="1">
      <c r="A29" s="23">
        <v>11.0</v>
      </c>
      <c r="B29" s="24" t="s">
        <v>645</v>
      </c>
      <c r="C29" s="23" t="s">
        <v>607</v>
      </c>
      <c r="D29" s="23">
        <v>1.0</v>
      </c>
      <c r="E29" s="24" t="s">
        <v>646</v>
      </c>
    </row>
    <row r="30" ht="15.75" customHeight="1">
      <c r="A30" s="23">
        <v>11.0</v>
      </c>
      <c r="B30" s="24" t="s">
        <v>647</v>
      </c>
      <c r="C30" s="23" t="s">
        <v>607</v>
      </c>
      <c r="D30" s="23">
        <v>3.0</v>
      </c>
      <c r="E30" s="24"/>
    </row>
    <row r="31" ht="15.75" customHeight="1">
      <c r="A31" s="23">
        <v>11.0</v>
      </c>
      <c r="B31" s="24" t="s">
        <v>648</v>
      </c>
      <c r="C31" s="23" t="s">
        <v>607</v>
      </c>
      <c r="D31" s="23">
        <v>2.0</v>
      </c>
      <c r="E31" s="24"/>
    </row>
    <row r="32" ht="15.75" customHeight="1">
      <c r="A32" s="23">
        <v>11.0</v>
      </c>
      <c r="B32" s="24" t="s">
        <v>649</v>
      </c>
      <c r="C32" s="23" t="s">
        <v>607</v>
      </c>
      <c r="D32" s="23">
        <v>2.0</v>
      </c>
      <c r="E32" s="24" t="s">
        <v>642</v>
      </c>
    </row>
    <row r="33" ht="15.75" customHeight="1">
      <c r="A33" s="23">
        <v>11.0</v>
      </c>
      <c r="B33" s="24" t="s">
        <v>650</v>
      </c>
      <c r="C33" s="23" t="s">
        <v>607</v>
      </c>
      <c r="D33" s="23">
        <v>3.0</v>
      </c>
      <c r="E33" s="24"/>
    </row>
    <row r="34" ht="15.75" customHeight="1">
      <c r="A34" s="23">
        <v>11.0</v>
      </c>
      <c r="B34" s="24" t="s">
        <v>651</v>
      </c>
      <c r="C34" s="23" t="s">
        <v>607</v>
      </c>
      <c r="D34" s="23">
        <v>3.0</v>
      </c>
      <c r="E34" s="24"/>
    </row>
    <row r="35" ht="15.75" customHeight="1">
      <c r="A35" s="23">
        <v>11.0</v>
      </c>
      <c r="B35" s="24" t="s">
        <v>652</v>
      </c>
      <c r="C35" s="23" t="s">
        <v>607</v>
      </c>
      <c r="D35" s="23">
        <v>2.0</v>
      </c>
      <c r="E35" s="24" t="s">
        <v>653</v>
      </c>
    </row>
    <row r="36" ht="15.75" customHeight="1">
      <c r="A36" s="23">
        <v>11.0</v>
      </c>
      <c r="B36" s="24" t="s">
        <v>654</v>
      </c>
      <c r="C36" s="23" t="s">
        <v>607</v>
      </c>
      <c r="D36" s="23">
        <v>3.0</v>
      </c>
      <c r="E36" s="24"/>
    </row>
    <row r="37" ht="15.75" customHeight="1">
      <c r="A37" s="23">
        <v>11.0</v>
      </c>
      <c r="B37" s="24" t="s">
        <v>655</v>
      </c>
      <c r="C37" s="23" t="s">
        <v>607</v>
      </c>
      <c r="D37" s="23">
        <v>23.0</v>
      </c>
      <c r="E37" s="24"/>
    </row>
    <row r="38" ht="15.75" customHeight="1">
      <c r="A38" s="23">
        <v>11.0</v>
      </c>
      <c r="B38" s="24" t="s">
        <v>656</v>
      </c>
      <c r="C38" s="23" t="s">
        <v>607</v>
      </c>
      <c r="D38" s="23">
        <v>1.0</v>
      </c>
      <c r="E38" s="24"/>
    </row>
    <row r="39" ht="15.75" customHeight="1">
      <c r="A39" s="23">
        <v>11.0</v>
      </c>
      <c r="B39" s="24" t="s">
        <v>657</v>
      </c>
      <c r="C39" s="23" t="s">
        <v>607</v>
      </c>
      <c r="D39" s="23">
        <v>2.0</v>
      </c>
      <c r="E39" s="24" t="s">
        <v>658</v>
      </c>
    </row>
    <row r="40" ht="15.75" customHeight="1">
      <c r="A40" s="23">
        <v>11.0</v>
      </c>
      <c r="B40" s="24" t="s">
        <v>659</v>
      </c>
      <c r="C40" s="23" t="s">
        <v>607</v>
      </c>
      <c r="D40" s="23">
        <v>2.0</v>
      </c>
      <c r="E40" s="24"/>
    </row>
    <row r="41" ht="15.75" customHeight="1"/>
    <row r="42" ht="15.75" customHeight="1">
      <c r="B42" s="18" t="s">
        <v>660</v>
      </c>
    </row>
    <row r="43" ht="15.75" customHeight="1"/>
    <row r="44" ht="15.75" customHeight="1">
      <c r="B44" s="25" t="s">
        <v>661</v>
      </c>
    </row>
    <row r="45" ht="15.75" customHeight="1">
      <c r="B45" s="25" t="s">
        <v>662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0"/>
  <printOptions/>
  <pageMargins bottom="1.0" footer="0.0" header="0.0" left="0.75" right="0.75" top="1.0"/>
  <pageSetup paperSize="9" orientation="portrait"/>
  <drawing r:id="rId1"/>
</worksheet>
</file>