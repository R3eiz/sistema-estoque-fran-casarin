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Cadastro Produtos Brutos" sheetId="2" state="visible" r:id="rId4"/>
    <sheet name="Cadastro Produtos Fracionados" sheetId="3" state="visible" r:id="rId5"/>
    <sheet name="Cadastro de Locais" sheetId="4" state="visible" r:id="rId6"/>
    <sheet name="Entrada na Central" sheetId="5" state="visible" r:id="rId7"/>
    <sheet name="Saída da Central" sheetId="6" state="visible" r:id="rId8"/>
    <sheet name="Produção de Fracionados" sheetId="7" state="visible" r:id="rId9"/>
    <sheet name="Entrada Estoque Fracionado" sheetId="8" state="visible" r:id="rId10"/>
    <sheet name="Saída Estoque Fracionado" sheetId="9" state="visible" r:id="rId11"/>
    <sheet name="Movimentações Gerais" sheetId="10" state="visible" r:id="rId12"/>
    <sheet name="Estoque Atual por Produto" sheetId="11" state="visible" r:id="rId13"/>
    <sheet name="Estoque Atual por Local" sheetId="12" state="visible" r:id="rId14"/>
    <sheet name="Alertas" sheetId="13" state="visible" r:id="rId15"/>
    <sheet name="Dashboard Gerenci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<sst xmlns="http://schemas.openxmlformats.org/spreadsheetml/2006/main" count="554" uniqueCount="233">
  <si>
    <t xml:space="preserve">Sistema de Controle de Estoque — Central, Fracionamento e Setores Consumidores</t>
  </si>
  <si>
    <t xml:space="preserve">Igor Morgado · Gerado em 09/07/2026</t>
  </si>
  <si>
    <t xml:space="preserve">Este arquivo controla o fluxo: Compra → Central de Distribuição → (Buffet Fran Casaria / Sushi / Restaurante Arboreto / Cozinha de Produção de Fracionados) → Produção de Fracionados → Estoque Fracionado → Sushi / Buffet Fran Casaria / Restaurante Arboreto.</t>
  </si>
  <si>
    <t xml:space="preserve">Aba</t>
  </si>
  <si>
    <t xml:space="preserve">Objetivo</t>
  </si>
  <si>
    <t xml:space="preserve">Uso Principal</t>
  </si>
  <si>
    <t xml:space="preserve">Cor das Células</t>
  </si>
  <si>
    <t xml:space="preserve">1. Cadastro de Produtos Brutos</t>
  </si>
  <si>
    <t xml:space="preserve">Cadastro-mestre de todo insumo bruto comprado.</t>
  </si>
  <si>
    <t xml:space="preserve">Preencher 1x por produto novo.</t>
  </si>
  <si>
    <t xml:space="preserve">Azul = digitação</t>
  </si>
  <si>
    <t xml:space="preserve">2. Cadastro de Produtos Fracionados</t>
  </si>
  <si>
    <t xml:space="preserve">Cadastro-mestre dos itens gerados pelo fracionamento.</t>
  </si>
  <si>
    <t xml:space="preserve">Preencher 1x por item fracionado novo.</t>
  </si>
  <si>
    <t xml:space="preserve">3. Cadastro de Locais</t>
  </si>
  <si>
    <t xml:space="preserve">Lista dos locais físicos/setores da operação.</t>
  </si>
  <si>
    <t xml:space="preserve">Preencher 1x, editar se abrir/fechar setor.</t>
  </si>
  <si>
    <t xml:space="preserve">4. Entrada na Central de Distribuição</t>
  </si>
  <si>
    <t xml:space="preserve">Registra toda compra/recebimento na Central.</t>
  </si>
  <si>
    <t xml:space="preserve">1 linha por nota fiscal/item recebido.</t>
  </si>
  <si>
    <t xml:space="preserve">Azul = digitação, Verde = referência</t>
  </si>
  <si>
    <t xml:space="preserve">5. Saída da Central de Distribuição</t>
  </si>
  <si>
    <t xml:space="preserve">Registra envio da Central para os 4 destinos.</t>
  </si>
  <si>
    <t xml:space="preserve">1 linha por saída/transferência.</t>
  </si>
  <si>
    <t xml:space="preserve">6. Produção de Fracionados</t>
  </si>
  <si>
    <t xml:space="preserve">Registra consumo de bruto na Cozinha de Fracionamento.</t>
  </si>
  <si>
    <t xml:space="preserve">1 linha por insumo bruto usado no lote.</t>
  </si>
  <si>
    <t xml:space="preserve">7. Entrada de Estoque Fracionado</t>
  </si>
  <si>
    <t xml:space="preserve">Registra o produto fracionado gerado pelo lote.</t>
  </si>
  <si>
    <t xml:space="preserve">1 linha por lote de produção finalizado.</t>
  </si>
  <si>
    <t xml:space="preserve">8. Saída de Estoque Fracionado</t>
  </si>
  <si>
    <t xml:space="preserve">Registra envio de fracionados para os setores.</t>
  </si>
  <si>
    <t xml:space="preserve">1 linha por saída para Buffet/Sushi/Restaurante.</t>
  </si>
  <si>
    <t xml:space="preserve">9. Movimentações Gerais</t>
  </si>
  <si>
    <t xml:space="preserve">Histórico único consolidado de todas as movimentações.</t>
  </si>
  <si>
    <t xml:space="preserve">Somente leitura — atualiza sozinho.</t>
  </si>
  <si>
    <t xml:space="preserve">Preto = fórmula (não editar)</t>
  </si>
  <si>
    <t xml:space="preserve">10. Estoque Atual por Produto</t>
  </si>
  <si>
    <t xml:space="preserve">Saldo consolidado por produto (bruto e fracionado).</t>
  </si>
  <si>
    <t xml:space="preserve">Consulta — não editar.</t>
  </si>
  <si>
    <t xml:space="preserve">11. Estoque Atual por Local</t>
  </si>
  <si>
    <t xml:space="preserve">Saldo por produto x local físico.</t>
  </si>
  <si>
    <t xml:space="preserve">12. Alertas de Estoque Mínimo e Validade</t>
  </si>
  <si>
    <t xml:space="preserve">Lista produtos abaixo do mínimo e lotes a vencer.</t>
  </si>
  <si>
    <t xml:space="preserve">Consultar diariamente.</t>
  </si>
  <si>
    <t xml:space="preserve">13. Dashboard Gerencial</t>
  </si>
  <si>
    <t xml:space="preserve">Indicadores e gráfico gerencial consolidado.</t>
  </si>
  <si>
    <t xml:space="preserve">Consulta gerencial.</t>
  </si>
  <si>
    <t xml:space="preserve">Regras gerais:</t>
  </si>
  <si>
    <t xml:space="preserve">• Só digite em células AZUIS. Células PRETAS têm fórmula — nunca sobrescreva.</t>
  </si>
  <si>
    <t xml:space="preserve">• Sempre lance uma nova movimentação em uma NOVA linha, no final da tabela (nunca apague linhas antigas).</t>
  </si>
  <si>
    <t xml:space="preserve">• Os menus suspensos (setas ao lado da célula) evitam erro de digitação — sempre use-os.</t>
  </si>
  <si>
    <t xml:space="preserve">• O sistema bloqueia saídas maiores que o saldo disponível (mensagem de erro ao digitar).</t>
  </si>
  <si>
    <t xml:space="preserve">• As abas 9 a 13 são calculadas automaticamente a partir das abas 1 a 8 — não exigem digitação.</t>
  </si>
  <si>
    <t xml:space="preserve">Código do Produto</t>
  </si>
  <si>
    <t xml:space="preserve">Nome do Produto</t>
  </si>
  <si>
    <t xml:space="preserve">Categoria</t>
  </si>
  <si>
    <t xml:space="preserve">Unidade de Medida</t>
  </si>
  <si>
    <t xml:space="preserve">Estoque Mínimo</t>
  </si>
  <si>
    <t xml:space="preserve">Estoque Máximo</t>
  </si>
  <si>
    <t xml:space="preserve">Validade Padrão (dias)</t>
  </si>
  <si>
    <t xml:space="preserve">Fornecedor Padrão</t>
  </si>
  <si>
    <t xml:space="preserve">Preço Médio de Compra (R$)</t>
  </si>
  <si>
    <t xml:space="preserve">Ativo</t>
  </si>
  <si>
    <t xml:space="preserve">Observações</t>
  </si>
  <si>
    <t xml:space="preserve">BR-001</t>
  </si>
  <si>
    <t xml:space="preserve">Salmão Fresco</t>
  </si>
  <si>
    <t xml:space="preserve">Peixes e Frutos do Mar</t>
  </si>
  <si>
    <t xml:space="preserve">KG</t>
  </si>
  <si>
    <t xml:space="preserve">Fornecedor Mar Azul</t>
  </si>
  <si>
    <t xml:space="preserve">Sim</t>
  </si>
  <si>
    <t xml:space="preserve">Manter refrigerado 0-4°C</t>
  </si>
  <si>
    <t xml:space="preserve">BR-002</t>
  </si>
  <si>
    <t xml:space="preserve">Arroz Japonês</t>
  </si>
  <si>
    <t xml:space="preserve">Grãos e Cereais</t>
  </si>
  <si>
    <t xml:space="preserve">Fornecedor Grão Bom</t>
  </si>
  <si>
    <t xml:space="preserve">Armazenar em local seco</t>
  </si>
  <si>
    <t xml:space="preserve">BR-003</t>
  </si>
  <si>
    <t xml:space="preserve">Alface Americana</t>
  </si>
  <si>
    <t xml:space="preserve">Hortifruti</t>
  </si>
  <si>
    <t xml:space="preserve">UN</t>
  </si>
  <si>
    <t xml:space="preserve">Fornecedor Horta Feliz</t>
  </si>
  <si>
    <t xml:space="preserve">BR-004</t>
  </si>
  <si>
    <t xml:space="preserve">Filé de Frango</t>
  </si>
  <si>
    <t xml:space="preserve">Carnes</t>
  </si>
  <si>
    <t xml:space="preserve">Fornecedor Avícola Sul</t>
  </si>
  <si>
    <t xml:space="preserve">BR-005</t>
  </si>
  <si>
    <t xml:space="preserve">Tomate</t>
  </si>
  <si>
    <t xml:space="preserve">BR-006</t>
  </si>
  <si>
    <t xml:space="preserve">Queijo Muçarela</t>
  </si>
  <si>
    <t xml:space="preserve">Laticínios</t>
  </si>
  <si>
    <t xml:space="preserve">Fornecedor Laticínios Serra</t>
  </si>
  <si>
    <t xml:space="preserve">Código Fracionado</t>
  </si>
  <si>
    <t xml:space="preserve">Nome do Produto Fracionado</t>
  </si>
  <si>
    <t xml:space="preserve">Código do Produto Bruto de Origem</t>
  </si>
  <si>
    <t xml:space="preserve">Nome do Produto Bruto de Origem</t>
  </si>
  <si>
    <t xml:space="preserve">Rendimento Padrão (%)</t>
  </si>
  <si>
    <t xml:space="preserve">Validade Padrão Após Fracionamento (dias)</t>
  </si>
  <si>
    <t xml:space="preserve">FR-001</t>
  </si>
  <si>
    <t xml:space="preserve">Salmão Fatiado para Sushi</t>
  </si>
  <si>
    <t xml:space="preserve">Porções de 20g</t>
  </si>
  <si>
    <t xml:space="preserve">FR-002</t>
  </si>
  <si>
    <t xml:space="preserve">Arroz Temperado para Sushi</t>
  </si>
  <si>
    <t xml:space="preserve">Temperado com vinagre/açúcar/sal</t>
  </si>
  <si>
    <t xml:space="preserve">FR-003</t>
  </si>
  <si>
    <t xml:space="preserve">Alface Higienizada e Cortada</t>
  </si>
  <si>
    <t xml:space="preserve">Sanitizada em solução clorada</t>
  </si>
  <si>
    <t xml:space="preserve">FR-004</t>
  </si>
  <si>
    <t xml:space="preserve">Frango Grelhado em Cubos</t>
  </si>
  <si>
    <t xml:space="preserve">FR-005</t>
  </si>
  <si>
    <t xml:space="preserve">Tomate Picado</t>
  </si>
  <si>
    <t xml:space="preserve">Código do Local</t>
  </si>
  <si>
    <t xml:space="preserve">Nome do Local</t>
  </si>
  <si>
    <t xml:space="preserve">Tipo de Local</t>
  </si>
  <si>
    <t xml:space="preserve">Responsável</t>
  </si>
  <si>
    <t xml:space="preserve">CD-01</t>
  </si>
  <si>
    <t xml:space="preserve">Central de Distribuição</t>
  </si>
  <si>
    <t xml:space="preserve">Central</t>
  </si>
  <si>
    <t xml:space="preserve">Igor Morgado</t>
  </si>
  <si>
    <t xml:space="preserve">Recebe todas as compras</t>
  </si>
  <si>
    <t xml:space="preserve">LOC-01</t>
  </si>
  <si>
    <t xml:space="preserve">Buffet Fran Casaria</t>
  </si>
  <si>
    <t xml:space="preserve">Consumidor</t>
  </si>
  <si>
    <t xml:space="preserve">LOC-02</t>
  </si>
  <si>
    <t xml:space="preserve">Sushi</t>
  </si>
  <si>
    <t xml:space="preserve">LOC-03</t>
  </si>
  <si>
    <t xml:space="preserve">Restaurante Arboreto</t>
  </si>
  <si>
    <t xml:space="preserve">LOC-04</t>
  </si>
  <si>
    <t xml:space="preserve">Cozinha de Produção de Fracionados</t>
  </si>
  <si>
    <t xml:space="preserve">Fracionamento</t>
  </si>
  <si>
    <t xml:space="preserve">Recebe bruto e produz fracionado</t>
  </si>
  <si>
    <t xml:space="preserve">Data</t>
  </si>
  <si>
    <t xml:space="preserve">Nº NF/Documento</t>
  </si>
  <si>
    <t xml:space="preserve">Unidade</t>
  </si>
  <si>
    <t xml:space="preserve">Fornecedor</t>
  </si>
  <si>
    <t xml:space="preserve">Quantidade</t>
  </si>
  <si>
    <t xml:space="preserve">Preço Unitário (R$)</t>
  </si>
  <si>
    <t xml:space="preserve">Valor Total (R$)</t>
  </si>
  <si>
    <t xml:space="preserve">Nº do Lote</t>
  </si>
  <si>
    <t xml:space="preserve">Data de Validade</t>
  </si>
  <si>
    <t xml:space="preserve">Responsável pelo Recebimento</t>
  </si>
  <si>
    <t xml:space="preserve">NF-1001</t>
  </si>
  <si>
    <t xml:space="preserve">L001</t>
  </si>
  <si>
    <t xml:space="preserve">NF-1002</t>
  </si>
  <si>
    <t xml:space="preserve">L002</t>
  </si>
  <si>
    <t xml:space="preserve">NF-1003</t>
  </si>
  <si>
    <t xml:space="preserve">L003</t>
  </si>
  <si>
    <t xml:space="preserve">NF-1004</t>
  </si>
  <si>
    <t xml:space="preserve">L004</t>
  </si>
  <si>
    <t xml:space="preserve">NF-1005</t>
  </si>
  <si>
    <t xml:space="preserve">L005</t>
  </si>
  <si>
    <t xml:space="preserve">Nº Documento</t>
  </si>
  <si>
    <t xml:space="preserve">Local de Destino</t>
  </si>
  <si>
    <t xml:space="preserve">Saldo na Central Antes desta Saída</t>
  </si>
  <si>
    <t xml:space="preserve">SC-001</t>
  </si>
  <si>
    <t xml:space="preserve">SC-002</t>
  </si>
  <si>
    <t xml:space="preserve">SC-003</t>
  </si>
  <si>
    <t xml:space="preserve">Envio direto, sem fracionar</t>
  </si>
  <si>
    <t xml:space="preserve">SC-004</t>
  </si>
  <si>
    <t xml:space="preserve">SC-005</t>
  </si>
  <si>
    <t xml:space="preserve">SC-006</t>
  </si>
  <si>
    <t xml:space="preserve">Nº Lote de Produção</t>
  </si>
  <si>
    <t xml:space="preserve">Código Produto Fracionado Resultante</t>
  </si>
  <si>
    <t xml:space="preserve">Nome do Fracionado</t>
  </si>
  <si>
    <t xml:space="preserve">Código Produto Bruto Utilizado</t>
  </si>
  <si>
    <t xml:space="preserve">Nome do Bruto</t>
  </si>
  <si>
    <t xml:space="preserve">Quantidade Utilizada</t>
  </si>
  <si>
    <t xml:space="preserve">Saldo do Bruto na Cozinha Antes desta Produção</t>
  </si>
  <si>
    <t xml:space="preserve">LP-001</t>
  </si>
  <si>
    <t xml:space="preserve">Fatiamento de salmão</t>
  </si>
  <si>
    <t xml:space="preserve">LP-002</t>
  </si>
  <si>
    <t xml:space="preserve">Cozimento e tempero do arroz</t>
  </si>
  <si>
    <t xml:space="preserve">LP-003</t>
  </si>
  <si>
    <t xml:space="preserve">Higienização e corte da alface</t>
  </si>
  <si>
    <t xml:space="preserve">LP-004</t>
  </si>
  <si>
    <t xml:space="preserve">Corte do tomate</t>
  </si>
  <si>
    <t xml:space="preserve">Data da Produção</t>
  </si>
  <si>
    <t xml:space="preserve">Código Produto Fracionado</t>
  </si>
  <si>
    <t xml:space="preserve">Quantidade Produzida (Rendimento)</t>
  </si>
  <si>
    <t xml:space="preserve">Local de Armazenamento</t>
  </si>
  <si>
    <t xml:space="preserve">Rendimento de 20kg de salmão bruto</t>
  </si>
  <si>
    <t xml:space="preserve">Ganho de peso por hidratação do tempero</t>
  </si>
  <si>
    <t xml:space="preserve">Perda por aparas na higienização</t>
  </si>
  <si>
    <t xml:space="preserve">Perda por aparas no corte</t>
  </si>
  <si>
    <t xml:space="preserve">Saldo Disponível Antes desta Saída</t>
  </si>
  <si>
    <t xml:space="preserve">SF-001</t>
  </si>
  <si>
    <t xml:space="preserve">SF-002</t>
  </si>
  <si>
    <t xml:space="preserve">SF-003</t>
  </si>
  <si>
    <t xml:space="preserve">SF-004</t>
  </si>
  <si>
    <t xml:space="preserve">Tipo de Movimentação</t>
  </si>
  <si>
    <t xml:space="preserve">Origem</t>
  </si>
  <si>
    <t xml:space="preserve">Destino</t>
  </si>
  <si>
    <t xml:space="preserve">Documento/Lote</t>
  </si>
  <si>
    <t xml:space="preserve">ENTRADAS — CENTRAL DE DISTRIBUIÇÃO</t>
  </si>
  <si>
    <t xml:space="preserve">SAÍDAS — CENTRAL DE DISTRIBUIÇÃO</t>
  </si>
  <si>
    <t xml:space="preserve">PRODUÇÃO — CONSUMO DE BRUTO NA COZINHA DE FRACIONAMENTO</t>
  </si>
  <si>
    <t xml:space="preserve">ENTRADAS — ESTOQUE FRACIONADO (SAÍDA DA PRODUÇÃO)</t>
  </si>
  <si>
    <t xml:space="preserve">SAÍDAS — ESTOQUE FRACIONADO PARA OS SETORES</t>
  </si>
  <si>
    <t xml:space="preserve">ESTOQUE ATUAL — PRODUTOS BRUTOS (SALDO NA CENTRAL DE DISTRIBUIÇÃO)</t>
  </si>
  <si>
    <t xml:space="preserve">Código</t>
  </si>
  <si>
    <t xml:space="preserve">Total Entradas</t>
  </si>
  <si>
    <t xml:space="preserve">Total Saídas</t>
  </si>
  <si>
    <t xml:space="preserve">Saldo Atual</t>
  </si>
  <si>
    <t xml:space="preserve">Status</t>
  </si>
  <si>
    <t xml:space="preserve">ESTOQUE ATUAL — PRODUTOS FRACIONADOS (SALDO NA COZINHA DE PRODUÇÃO DE FRACIONADOS)</t>
  </si>
  <si>
    <t xml:space="preserve">Total Produzido</t>
  </si>
  <si>
    <t xml:space="preserve">Total Distribuído</t>
  </si>
  <si>
    <t xml:space="preserve">Local</t>
  </si>
  <si>
    <t xml:space="preserve">Tipo de Produto</t>
  </si>
  <si>
    <t xml:space="preserve">Bruto</t>
  </si>
  <si>
    <t xml:space="preserve">Fracionado</t>
  </si>
  <si>
    <t xml:space="preserve">ALERTA DE ESTOQUE MÍNIMO — POR PRODUTO (CONSOLIDADO)</t>
  </si>
  <si>
    <t xml:space="preserve">Tipo</t>
  </si>
  <si>
    <t xml:space="preserve">Diferença</t>
  </si>
  <si>
    <t xml:space="preserve">ALERTA DE VALIDADE — LOTES EM ESTOQUE (LIMIAR: 3 DIAS = URGENTE, 7 DIAS = ATENÇÃO)</t>
  </si>
  <si>
    <t xml:space="preserve">Dias Para Vencer</t>
  </si>
  <si>
    <t xml:space="preserve">Bruto (Central)</t>
  </si>
  <si>
    <t xml:space="preserve">Dashboard Gerencial — Estoque</t>
  </si>
  <si>
    <t xml:space="preserve">Atualizado automaticamente a partir das abas 1 a 8</t>
  </si>
  <si>
    <t xml:space="preserve">Total de Produtos Brutos Cadastrados</t>
  </si>
  <si>
    <t xml:space="preserve">Total de Produtos Fracionados Cadastrados</t>
  </si>
  <si>
    <t xml:space="preserve">Total de Locais Ativos</t>
  </si>
  <si>
    <t xml:space="preserve">Valor Total Recebido na Central (R$)</t>
  </si>
  <si>
    <t xml:space="preserve">Valor Total em Estoque na Central (R$)</t>
  </si>
  <si>
    <t xml:space="preserve">Quantidade Total Distribuída da Central</t>
  </si>
  <si>
    <t xml:space="preserve">Quantidade Total Produzida (Fracionados)</t>
  </si>
  <si>
    <t xml:space="preserve">Quantidade Total Distribuída (Fracionados)</t>
  </si>
  <si>
    <t xml:space="preserve">Produtos Abaixo do Estoque Mínimo</t>
  </si>
  <si>
    <t xml:space="preserve">Lotes Vencidos ou Vencimento Urgente (≤3 dias)</t>
  </si>
  <si>
    <t xml:space="preserve">Lotes com Vencimento em Até 7 Dias</t>
  </si>
  <si>
    <t xml:space="preserve">Nº de Itens em Estoque por Local</t>
  </si>
  <si>
    <t xml:space="preserve">Itens em Estoque</t>
  </si>
  <si>
    <t xml:space="preserve">Para análises ad hoc adicionais (ex.: total movimentado por mês, por responsável, por fornecedor), insira uma Tabela Dinâmica em Inserir &gt; Tabela Dinâmica usando o intervalo da aba "Movimentações Gerais".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</si>
</sst>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&quot;R$ &quot;#,##0.00"/>
    <numFmt numFmtId="167" formatCode="0.0%"/>
    <numFmt numFmtId="168" formatCode="dd/mm/yyyy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Nº de Itens em Estoque por Local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Gerencial'!B18</c:f>
              <c:strCache>
                <c:ptCount val="1"/>
                <c:pt idx="0">
                  <c:v>Itens em Estoque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Gerencial'!$A$19:$A$23</c:f>
              <c:strCache>
                <c:ptCount val="5"/>
                <c:pt idx="0">
                  <c:v>Central de Distribuição</c:v>
                </c:pt>
                <c:pt idx="1">
                  <c:v>Cozinha de Produção de Fracionados</c:v>
                </c:pt>
                <c:pt idx="2">
                  <c:v>Buffet Fran Casaria</c:v>
                </c:pt>
                <c:pt idx="3">
                  <c:v>Sushi</c:v>
                </c:pt>
                <c:pt idx="4">
                  <c:v>Restaurante Arboreto</c:v>
                </c:pt>
              </c:strCache>
            </c:strRef>
          </c:cat>
          <c:val>
            <c:numRef>
              <c:f>'Dashboard Gerencial'!$B$19:$B$23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99552951"/>
        <c:axId val="54906758"/>
      </c:barChart>
      <c:catAx>
        <c:axId val="99552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Local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906758"/>
        <c:crosses val="autoZero"/>
        <c:auto val="1"/>
        <c:lblAlgn val="ctr"/>
        <c:lblOffset val="100"/>
        <c:noMultiLvlLbl val="0"/>
      </c:catAx>
      <c:valAx>
        <c:axId val="54906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Itens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529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16</xdr:row>
      <xdr:rowOff>0</xdr:rowOff>
    </xdr:from>
    <xdr:to>
      <xdr:col>9</xdr:col>
      <xdr:colOff>556920</xdr:colOff>
      <xdr:row>31</xdr:row>
      <xdr:rowOff>1440</xdr:rowOff>
    </xdr:to>
    <xdr:graphicFrame>
      <xdr:nvGraphicFramePr>
        <xdr:cNvPr id="1" name="Chart 1"/>
        <xdr:cNvGraphicFramePr/>
      </xdr:nvGraphicFramePr>
      <xdr:xfrm>
        <a:off x="3806280" y="3078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5" t="s">
        <v>8</v>
      </c>
      <c r="C7" s="5" t="s">
        <v>9</v>
      </c>
      <c r="D7" s="5" t="s">
        <v>10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 t="s">
        <v>13</v>
      </c>
      <c r="D8" s="5" t="s">
        <v>10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s">
        <v>16</v>
      </c>
      <c r="D9" s="5" t="s">
        <v>10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  <c r="D10" s="5" t="s">
        <v>20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  <c r="D11" s="5" t="s">
        <v>20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5" t="s">
        <v>26</v>
      </c>
      <c r="D12" s="5" t="s">
        <v>20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5" t="s">
        <v>29</v>
      </c>
      <c r="D13" s="5" t="s">
        <v>20</v>
      </c>
    </row>
    <row r="14" customFormat="false" ht="15" hidden="false" customHeight="false" outlineLevel="0" collapsed="false">
      <c r="A14" s="5" t="s">
        <v>30</v>
      </c>
      <c r="B14" s="5" t="s">
        <v>31</v>
      </c>
      <c r="C14" s="5" t="s">
        <v>32</v>
      </c>
      <c r="D14" s="5" t="s">
        <v>20</v>
      </c>
    </row>
    <row r="15" customFormat="false" ht="15" hidden="false" customHeight="false" outlineLevel="0" collapsed="false">
      <c r="A15" s="5" t="s">
        <v>33</v>
      </c>
      <c r="B15" s="5" t="s">
        <v>34</v>
      </c>
      <c r="C15" s="5" t="s">
        <v>35</v>
      </c>
      <c r="D15" s="5" t="s">
        <v>36</v>
      </c>
    </row>
    <row r="16" customFormat="false" ht="15" hidden="false" customHeight="false" outlineLevel="0" collapsed="false">
      <c r="A16" s="5" t="s">
        <v>37</v>
      </c>
      <c r="B16" s="5" t="s">
        <v>38</v>
      </c>
      <c r="C16" s="5" t="s">
        <v>39</v>
      </c>
      <c r="D16" s="5" t="s">
        <v>36</v>
      </c>
    </row>
    <row r="17" customFormat="false" ht="15" hidden="false" customHeight="false" outlineLevel="0" collapsed="false">
      <c r="A17" s="5" t="s">
        <v>40</v>
      </c>
      <c r="B17" s="5" t="s">
        <v>41</v>
      </c>
      <c r="C17" s="5" t="s">
        <v>39</v>
      </c>
      <c r="D17" s="5" t="s">
        <v>36</v>
      </c>
    </row>
    <row r="18" customFormat="false" ht="15" hidden="false" customHeight="false" outlineLevel="0" collapsed="false">
      <c r="A18" s="5" t="s">
        <v>42</v>
      </c>
      <c r="B18" s="5" t="s">
        <v>43</v>
      </c>
      <c r="C18" s="5" t="s">
        <v>44</v>
      </c>
      <c r="D18" s="5" t="s">
        <v>36</v>
      </c>
    </row>
    <row r="19" customFormat="false" ht="15" hidden="false" customHeight="false" outlineLevel="0" collapsed="false">
      <c r="A19" s="5" t="s">
        <v>45</v>
      </c>
      <c r="B19" s="5" t="s">
        <v>46</v>
      </c>
      <c r="C19" s="5" t="s">
        <v>47</v>
      </c>
      <c r="D19" s="5" t="s">
        <v>36</v>
      </c>
    </row>
    <row r="21" customFormat="false" ht="15" hidden="false" customHeight="false" outlineLevel="0" collapsed="false">
      <c r="A21" s="6" t="s">
        <v>48</v>
      </c>
    </row>
    <row r="22" customFormat="false" ht="15" hidden="false" customHeight="false" outlineLevel="0" collapsed="false">
      <c r="A22" s="7" t="s">
        <v>49</v>
      </c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 t="s">
        <v>50</v>
      </c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 t="s">
        <v>51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 t="s">
        <v>52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7" t="s">
        <v>53</v>
      </c>
      <c r="B26" s="7"/>
      <c r="C26" s="7"/>
      <c r="D26" s="7"/>
      <c r="E26" s="7"/>
      <c r="F26" s="7"/>
      <c r="G26" s="7"/>
      <c r="H26" s="7"/>
    </row>
  </sheetData>
  <mergeCells count="6">
    <mergeCell ref="A4:H4"/>
    <mergeCell ref="A22:H22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</row>
    <row r="2" customFormat="false" ht="15" hidden="false" customHeight="false" outlineLevel="0" collapsed="false">
      <c r="A2" s="8" t="s">
        <v>65</v>
      </c>
      <c r="B2" s="8" t="s">
        <v>66</v>
      </c>
      <c r="C2" s="8" t="s">
        <v>67</v>
      </c>
      <c r="D2" s="8" t="s">
        <v>68</v>
      </c>
      <c r="E2" s="9" t="n">
        <v>5</v>
      </c>
      <c r="F2" s="9" t="n">
        <v>50</v>
      </c>
      <c r="G2" s="9" t="n">
        <v>3</v>
      </c>
      <c r="H2" s="8" t="s">
        <v>69</v>
      </c>
      <c r="I2" s="10" t="n">
        <v>42</v>
      </c>
      <c r="J2" s="8" t="s">
        <v>70</v>
      </c>
      <c r="K2" s="8" t="s">
        <v>71</v>
      </c>
    </row>
    <row r="3" customFormat="false" ht="15" hidden="false" customHeight="false" outlineLevel="0" collapsed="false">
      <c r="A3" s="8" t="s">
        <v>72</v>
      </c>
      <c r="B3" s="8" t="s">
        <v>73</v>
      </c>
      <c r="C3" s="8" t="s">
        <v>74</v>
      </c>
      <c r="D3" s="8" t="s">
        <v>68</v>
      </c>
      <c r="E3" s="9" t="n">
        <v>10</v>
      </c>
      <c r="F3" s="9" t="n">
        <v>100</v>
      </c>
      <c r="G3" s="9" t="n">
        <v>180</v>
      </c>
      <c r="H3" s="8" t="s">
        <v>75</v>
      </c>
      <c r="I3" s="10" t="n">
        <v>8.5</v>
      </c>
      <c r="J3" s="8" t="s">
        <v>70</v>
      </c>
      <c r="K3" s="8" t="s">
        <v>76</v>
      </c>
    </row>
    <row r="4" customFormat="false" ht="15" hidden="false" customHeight="fals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9" t="n">
        <v>5</v>
      </c>
      <c r="F4" s="9" t="n">
        <v>40</v>
      </c>
      <c r="G4" s="9" t="n">
        <v>5</v>
      </c>
      <c r="H4" s="8" t="s">
        <v>81</v>
      </c>
      <c r="I4" s="10" t="n">
        <v>3.5</v>
      </c>
      <c r="J4" s="8" t="s">
        <v>70</v>
      </c>
      <c r="K4" s="8"/>
    </row>
    <row r="5" customFormat="false" ht="15" hidden="false" customHeight="false" outlineLevel="0" collapsed="false">
      <c r="A5" s="8" t="s">
        <v>82</v>
      </c>
      <c r="B5" s="8" t="s">
        <v>83</v>
      </c>
      <c r="C5" s="8" t="s">
        <v>84</v>
      </c>
      <c r="D5" s="8" t="s">
        <v>68</v>
      </c>
      <c r="E5" s="9" t="n">
        <v>8</v>
      </c>
      <c r="F5" s="9" t="n">
        <v>60</v>
      </c>
      <c r="G5" s="9" t="n">
        <v>4</v>
      </c>
      <c r="H5" s="8" t="s">
        <v>85</v>
      </c>
      <c r="I5" s="10" t="n">
        <v>22</v>
      </c>
      <c r="J5" s="8" t="s">
        <v>70</v>
      </c>
      <c r="K5" s="8" t="s">
        <v>71</v>
      </c>
    </row>
    <row r="6" customFormat="false" ht="15" hidden="false" customHeight="false" outlineLevel="0" collapsed="false">
      <c r="A6" s="8" t="s">
        <v>86</v>
      </c>
      <c r="B6" s="8" t="s">
        <v>87</v>
      </c>
      <c r="C6" s="8" t="s">
        <v>79</v>
      </c>
      <c r="D6" s="8" t="s">
        <v>68</v>
      </c>
      <c r="E6" s="9" t="n">
        <v>5</v>
      </c>
      <c r="F6" s="9" t="n">
        <v>40</v>
      </c>
      <c r="G6" s="9" t="n">
        <v>6</v>
      </c>
      <c r="H6" s="8" t="s">
        <v>81</v>
      </c>
      <c r="I6" s="10" t="n">
        <v>6</v>
      </c>
      <c r="J6" s="8" t="s">
        <v>70</v>
      </c>
      <c r="K6" s="8"/>
    </row>
    <row r="7" customFormat="false" ht="15" hidden="false" customHeight="false" outlineLevel="0" collapsed="false">
      <c r="A7" s="8" t="s">
        <v>88</v>
      </c>
      <c r="B7" s="8" t="s">
        <v>89</v>
      </c>
      <c r="C7" s="8" t="s">
        <v>90</v>
      </c>
      <c r="D7" s="8" t="s">
        <v>68</v>
      </c>
      <c r="E7" s="9" t="n">
        <v>5</v>
      </c>
      <c r="F7" s="9" t="n">
        <v>30</v>
      </c>
      <c r="G7" s="9" t="n">
        <v>20</v>
      </c>
      <c r="H7" s="8" t="s">
        <v>91</v>
      </c>
      <c r="I7" s="10" t="n">
        <v>32</v>
      </c>
      <c r="J7" s="8" t="s">
        <v>70</v>
      </c>
      <c r="K7" s="8" t="s">
        <v>71</v>
      </c>
    </row>
  </sheetData>
  <dataValidations count="5">
    <dataValidation allowBlank="true" error="Selecione um valor da lista." errorStyle="stop" errorTitle="Valor inválido" operator="between" showDropDown="false" showErrorMessage="true" showInputMessage="false" sqref="C2:C301" type="list">
      <formula1>"Peixes e Frutos do Mar,Grãos e Cereais,Hortifruti,Carnes,Laticínios,Outros"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D2:D301" type="list">
      <formula1>"KG,G,L,ML,UN,CX,PCT"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J2:J301" type="list">
      <formula1>"Sim,Não"</formula1>
      <formula2>0</formula2>
    </dataValidation>
    <dataValidation allowBlank="true" error="O valor deve ser maior ou igual a 0." errorStyle="stop" errorTitle="Quantidade inválida" operator="greaterThanOrEqual" showDropDown="false" showErrorMessage="true" showInputMessage="false" sqref="E2:G301" type="decimal">
      <formula1>0</formula1>
      <formula2>0</formula2>
    </dataValidation>
    <dataValidation allowBlank="true" error="O valor deve ser maior ou igual a 0." errorStyle="stop" errorTitle="Quantidade inválida" operator="greaterThanOrEqual" showDropDown="false" showErrorMessage="true" showInputMessage="false" sqref="I2:I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4" t="s">
        <v>92</v>
      </c>
      <c r="B1" s="4" t="s">
        <v>93</v>
      </c>
      <c r="C1" s="4" t="s">
        <v>56</v>
      </c>
      <c r="D1" s="4" t="s">
        <v>57</v>
      </c>
      <c r="E1" s="4" t="s">
        <v>94</v>
      </c>
      <c r="F1" s="4" t="s">
        <v>95</v>
      </c>
      <c r="G1" s="4" t="s">
        <v>96</v>
      </c>
      <c r="H1" s="4" t="s">
        <v>58</v>
      </c>
      <c r="I1" s="4" t="s">
        <v>59</v>
      </c>
      <c r="J1" s="4" t="s">
        <v>97</v>
      </c>
      <c r="K1" s="4" t="s">
        <v>63</v>
      </c>
      <c r="L1" s="4" t="s">
        <v>64</v>
      </c>
    </row>
    <row r="2" customFormat="false" ht="15" hidden="false" customHeight="false" outlineLevel="0" collapsed="false">
      <c r="A2" s="8" t="s">
        <v>98</v>
      </c>
      <c r="B2" s="8" t="s">
        <v>99</v>
      </c>
      <c r="C2" s="8" t="s">
        <v>67</v>
      </c>
      <c r="D2" s="8" t="s">
        <v>68</v>
      </c>
      <c r="E2" s="8" t="s">
        <v>65</v>
      </c>
      <c r="F2" s="11" t="str">
        <f aca="false">IFERROR(VLOOKUP(E2,'Cadastro Produtos Brutos'!$A:$B,2,0),"")</f>
        <v>Salmão Fresco</v>
      </c>
      <c r="G2" s="12" t="n">
        <v>0.85</v>
      </c>
      <c r="H2" s="9" t="n">
        <v>2</v>
      </c>
      <c r="I2" s="9" t="n">
        <v>20</v>
      </c>
      <c r="J2" s="9" t="n">
        <v>2</v>
      </c>
      <c r="K2" s="8" t="s">
        <v>70</v>
      </c>
      <c r="L2" s="8" t="s">
        <v>100</v>
      </c>
    </row>
    <row r="3" customFormat="false" ht="15" hidden="false" customHeight="false" outlineLevel="0" collapsed="false">
      <c r="A3" s="8" t="s">
        <v>101</v>
      </c>
      <c r="B3" s="8" t="s">
        <v>102</v>
      </c>
      <c r="C3" s="8" t="s">
        <v>74</v>
      </c>
      <c r="D3" s="8" t="s">
        <v>68</v>
      </c>
      <c r="E3" s="8" t="s">
        <v>72</v>
      </c>
      <c r="F3" s="11" t="str">
        <f aca="false">IFERROR(VLOOKUP(E3,'Cadastro Produtos Brutos'!$A:$B,2,0),"")</f>
        <v>Arroz Japonês</v>
      </c>
      <c r="G3" s="12" t="n">
        <v>1.1</v>
      </c>
      <c r="H3" s="9" t="n">
        <v>3</v>
      </c>
      <c r="I3" s="9" t="n">
        <v>25</v>
      </c>
      <c r="J3" s="9" t="n">
        <v>2</v>
      </c>
      <c r="K3" s="8" t="s">
        <v>70</v>
      </c>
      <c r="L3" s="8" t="s">
        <v>103</v>
      </c>
    </row>
    <row r="4" customFormat="false" ht="15" hidden="false" customHeight="false" outlineLevel="0" collapsed="false">
      <c r="A4" s="8" t="s">
        <v>104</v>
      </c>
      <c r="B4" s="8" t="s">
        <v>105</v>
      </c>
      <c r="C4" s="8" t="s">
        <v>79</v>
      </c>
      <c r="D4" s="8" t="s">
        <v>68</v>
      </c>
      <c r="E4" s="8" t="s">
        <v>77</v>
      </c>
      <c r="F4" s="11" t="str">
        <f aca="false">IFERROR(VLOOKUP(E4,'Cadastro Produtos Brutos'!$A:$B,2,0),"")</f>
        <v>Alface Americana</v>
      </c>
      <c r="G4" s="12" t="n">
        <v>0.8</v>
      </c>
      <c r="H4" s="9" t="n">
        <v>2</v>
      </c>
      <c r="I4" s="9" t="n">
        <v>15</v>
      </c>
      <c r="J4" s="9" t="n">
        <v>3</v>
      </c>
      <c r="K4" s="8" t="s">
        <v>70</v>
      </c>
      <c r="L4" s="8" t="s">
        <v>106</v>
      </c>
    </row>
    <row r="5" customFormat="false" ht="15" hidden="false" customHeight="false" outlineLevel="0" collapsed="false">
      <c r="A5" s="8" t="s">
        <v>107</v>
      </c>
      <c r="B5" s="8" t="s">
        <v>108</v>
      </c>
      <c r="C5" s="8" t="s">
        <v>84</v>
      </c>
      <c r="D5" s="8" t="s">
        <v>68</v>
      </c>
      <c r="E5" s="8" t="s">
        <v>82</v>
      </c>
      <c r="F5" s="11" t="str">
        <f aca="false">IFERROR(VLOOKUP(E5,'Cadastro Produtos Brutos'!$A:$B,2,0),"")</f>
        <v>Filé de Frango</v>
      </c>
      <c r="G5" s="12" t="n">
        <v>0.75</v>
      </c>
      <c r="H5" s="9" t="n">
        <v>2</v>
      </c>
      <c r="I5" s="9" t="n">
        <v>15</v>
      </c>
      <c r="J5" s="9" t="n">
        <v>3</v>
      </c>
      <c r="K5" s="8" t="s">
        <v>70</v>
      </c>
      <c r="L5" s="8"/>
    </row>
    <row r="6" customFormat="false" ht="15" hidden="false" customHeight="false" outlineLevel="0" collapsed="false">
      <c r="A6" s="8" t="s">
        <v>109</v>
      </c>
      <c r="B6" s="8" t="s">
        <v>110</v>
      </c>
      <c r="C6" s="8" t="s">
        <v>79</v>
      </c>
      <c r="D6" s="8" t="s">
        <v>68</v>
      </c>
      <c r="E6" s="8" t="s">
        <v>86</v>
      </c>
      <c r="F6" s="11" t="str">
        <f aca="false">IFERROR(VLOOKUP(E6,'Cadastro Produtos Brutos'!$A:$B,2,0),"")</f>
        <v>Tomate</v>
      </c>
      <c r="G6" s="12" t="n">
        <v>0.92</v>
      </c>
      <c r="H6" s="9" t="n">
        <v>2</v>
      </c>
      <c r="I6" s="9" t="n">
        <v>15</v>
      </c>
      <c r="J6" s="9" t="n">
        <v>2</v>
      </c>
      <c r="K6" s="8" t="s">
        <v>70</v>
      </c>
      <c r="L6" s="8"/>
    </row>
  </sheetData>
  <dataValidations count="5">
    <dataValidation allowBlank="true" error="Selecione um valor da lista." errorStyle="stop" errorTitle="Valor inválido" operator="between" showDropDown="false" showErrorMessage="true" showInputMessage="false" sqref="C2:C301" type="list">
      <formula1>"Peixes e Frutos do Mar,Grãos e Cereais,Hortifruti,Carnes,Laticínios,Outros"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D2:D301" type="list">
      <formula1>"KG,G,L,ML,UN,CX,PCT"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K2:K301" type="list">
      <formula1>"Sim,Não"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E2:E301" type="list">
      <formula1>'Cadastro Produtos Brutos'!$A$2:$A$301</formula1>
      <formula2>0</formula2>
    </dataValidation>
    <dataValidation allowBlank="true" error="O valor deve ser maior ou igual a 0." errorStyle="stop" errorTitle="Quantidade inválida" operator="greaterThanOrEqual" showDropDown="false" showErrorMessage="true" showInputMessage="false" sqref="H2:J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111</v>
      </c>
      <c r="B1" s="4" t="s">
        <v>112</v>
      </c>
      <c r="C1" s="4" t="s">
        <v>113</v>
      </c>
      <c r="D1" s="4" t="s">
        <v>114</v>
      </c>
      <c r="E1" s="4" t="s">
        <v>63</v>
      </c>
      <c r="F1" s="4" t="s">
        <v>64</v>
      </c>
    </row>
    <row r="2" customFormat="false" ht="15" hidden="false" customHeight="false" outlineLevel="0" collapsed="false">
      <c r="A2" s="8" t="s">
        <v>115</v>
      </c>
      <c r="B2" s="8" t="s">
        <v>116</v>
      </c>
      <c r="C2" s="8" t="s">
        <v>117</v>
      </c>
      <c r="D2" s="8" t="s">
        <v>118</v>
      </c>
      <c r="E2" s="8" t="s">
        <v>70</v>
      </c>
      <c r="F2" s="8" t="s">
        <v>119</v>
      </c>
    </row>
    <row r="3" customFormat="false" ht="15" hidden="false" customHeight="false" outlineLevel="0" collapsed="false">
      <c r="A3" s="8" t="s">
        <v>120</v>
      </c>
      <c r="B3" s="8" t="s">
        <v>121</v>
      </c>
      <c r="C3" s="8" t="s">
        <v>122</v>
      </c>
      <c r="D3" s="8"/>
      <c r="E3" s="8" t="s">
        <v>70</v>
      </c>
      <c r="F3" s="8"/>
    </row>
    <row r="4" customFormat="false" ht="15" hidden="false" customHeight="false" outlineLevel="0" collapsed="false">
      <c r="A4" s="8" t="s">
        <v>123</v>
      </c>
      <c r="B4" s="8" t="s">
        <v>124</v>
      </c>
      <c r="C4" s="8" t="s">
        <v>122</v>
      </c>
      <c r="D4" s="8"/>
      <c r="E4" s="8" t="s">
        <v>70</v>
      </c>
      <c r="F4" s="8"/>
    </row>
    <row r="5" customFormat="false" ht="15" hidden="false" customHeight="false" outlineLevel="0" collapsed="false">
      <c r="A5" s="8" t="s">
        <v>125</v>
      </c>
      <c r="B5" s="8" t="s">
        <v>126</v>
      </c>
      <c r="C5" s="8" t="s">
        <v>122</v>
      </c>
      <c r="D5" s="8"/>
      <c r="E5" s="8" t="s">
        <v>70</v>
      </c>
      <c r="F5" s="8"/>
    </row>
    <row r="6" customFormat="false" ht="15" hidden="false" customHeight="false" outlineLevel="0" collapsed="false">
      <c r="A6" s="8" t="s">
        <v>127</v>
      </c>
      <c r="B6" s="8" t="s">
        <v>128</v>
      </c>
      <c r="C6" s="8" t="s">
        <v>129</v>
      </c>
      <c r="D6" s="8"/>
      <c r="E6" s="8" t="s">
        <v>70</v>
      </c>
      <c r="F6" s="8" t="s">
        <v>130</v>
      </c>
    </row>
  </sheetData>
  <dataValidations count="2">
    <dataValidation allowBlank="true" error="Selecione um valor da lista." errorStyle="stop" errorTitle="Valor inválido" operator="between" showDropDown="false" showErrorMessage="true" showInputMessage="false" sqref="C2:C301" type="list">
      <formula1>"Central,Consumidor,Fracionamento"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E2:E30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24"/>
  </cols>
  <sheetData>
    <row r="1" customFormat="false" ht="30" hidden="false" customHeight="true" outlineLevel="0" collapsed="false">
      <c r="A1" s="4" t="s">
        <v>131</v>
      </c>
      <c r="B1" s="4" t="s">
        <v>132</v>
      </c>
      <c r="C1" s="4" t="s">
        <v>54</v>
      </c>
      <c r="D1" s="4" t="s">
        <v>55</v>
      </c>
      <c r="E1" s="4" t="s">
        <v>133</v>
      </c>
      <c r="F1" s="4" t="s">
        <v>134</v>
      </c>
      <c r="G1" s="4" t="s">
        <v>135</v>
      </c>
      <c r="H1" s="4" t="s">
        <v>136</v>
      </c>
      <c r="I1" s="4" t="s">
        <v>137</v>
      </c>
      <c r="J1" s="4" t="s">
        <v>138</v>
      </c>
      <c r="K1" s="4" t="s">
        <v>139</v>
      </c>
      <c r="L1" s="4" t="s">
        <v>140</v>
      </c>
      <c r="M1" s="4" t="s">
        <v>64</v>
      </c>
    </row>
    <row r="2" customFormat="false" ht="15" hidden="false" customHeight="false" outlineLevel="0" collapsed="false">
      <c r="A2" s="13" t="n">
        <v>46204</v>
      </c>
      <c r="B2" s="8" t="s">
        <v>141</v>
      </c>
      <c r="C2" s="8" t="s">
        <v>65</v>
      </c>
      <c r="D2" s="11" t="str">
        <f aca="false">IFERROR(VLOOKUP(C2,'Cadastro Produtos Brutos'!$A:$B,2,0),"")</f>
        <v>Salmão Fresco</v>
      </c>
      <c r="E2" s="11" t="str">
        <f aca="false">IFERROR(VLOOKUP(C2,'Cadastro Produtos Brutos'!$A:$D,4,0),"")</f>
        <v>KG</v>
      </c>
      <c r="F2" s="8" t="s">
        <v>69</v>
      </c>
      <c r="G2" s="14" t="n">
        <v>40</v>
      </c>
      <c r="H2" s="10" t="n">
        <v>42</v>
      </c>
      <c r="I2" s="15" t="n">
        <f aca="false">IF(G2="","",G2*H2)</f>
        <v>1680</v>
      </c>
      <c r="J2" s="8" t="s">
        <v>142</v>
      </c>
      <c r="K2" s="13" t="n">
        <v>46215</v>
      </c>
      <c r="L2" s="8" t="s">
        <v>118</v>
      </c>
      <c r="M2" s="8"/>
    </row>
    <row r="3" customFormat="false" ht="15" hidden="false" customHeight="false" outlineLevel="0" collapsed="false">
      <c r="A3" s="13" t="n">
        <v>46204</v>
      </c>
      <c r="B3" s="8" t="s">
        <v>143</v>
      </c>
      <c r="C3" s="8" t="s">
        <v>72</v>
      </c>
      <c r="D3" s="11" t="str">
        <f aca="false">IFERROR(VLOOKUP(C3,'Cadastro Produtos Brutos'!$A:$B,2,0),"")</f>
        <v>Arroz Japonês</v>
      </c>
      <c r="E3" s="11" t="str">
        <f aca="false">IFERROR(VLOOKUP(C3,'Cadastro Produtos Brutos'!$A:$D,4,0),"")</f>
        <v>KG</v>
      </c>
      <c r="F3" s="8" t="s">
        <v>75</v>
      </c>
      <c r="G3" s="14" t="n">
        <v>30</v>
      </c>
      <c r="H3" s="10" t="n">
        <v>8.5</v>
      </c>
      <c r="I3" s="15" t="n">
        <f aca="false">IF(G3="","",G3*H3)</f>
        <v>255</v>
      </c>
      <c r="J3" s="8" t="s">
        <v>144</v>
      </c>
      <c r="K3" s="13" t="n">
        <v>46388</v>
      </c>
      <c r="L3" s="8" t="s">
        <v>118</v>
      </c>
      <c r="M3" s="8"/>
    </row>
    <row r="4" customFormat="false" ht="15" hidden="false" customHeight="false" outlineLevel="0" collapsed="false">
      <c r="A4" s="13" t="n">
        <v>46205</v>
      </c>
      <c r="B4" s="8" t="s">
        <v>145</v>
      </c>
      <c r="C4" s="8" t="s">
        <v>82</v>
      </c>
      <c r="D4" s="11" t="str">
        <f aca="false">IFERROR(VLOOKUP(C4,'Cadastro Produtos Brutos'!$A:$B,2,0),"")</f>
        <v>Filé de Frango</v>
      </c>
      <c r="E4" s="11" t="str">
        <f aca="false">IFERROR(VLOOKUP(C4,'Cadastro Produtos Brutos'!$A:$D,4,0),"")</f>
        <v>KG</v>
      </c>
      <c r="F4" s="8" t="s">
        <v>85</v>
      </c>
      <c r="G4" s="14" t="n">
        <v>25</v>
      </c>
      <c r="H4" s="10" t="n">
        <v>22</v>
      </c>
      <c r="I4" s="15" t="n">
        <f aca="false">IF(G4="","",G4*H4)</f>
        <v>550</v>
      </c>
      <c r="J4" s="8" t="s">
        <v>146</v>
      </c>
      <c r="K4" s="13" t="n">
        <v>46212</v>
      </c>
      <c r="L4" s="8" t="s">
        <v>118</v>
      </c>
      <c r="M4" s="8"/>
    </row>
    <row r="5" customFormat="false" ht="15" hidden="false" customHeight="false" outlineLevel="0" collapsed="false">
      <c r="A5" s="13" t="n">
        <v>46205</v>
      </c>
      <c r="B5" s="8" t="s">
        <v>147</v>
      </c>
      <c r="C5" s="8" t="s">
        <v>86</v>
      </c>
      <c r="D5" s="11" t="str">
        <f aca="false">IFERROR(VLOOKUP(C5,'Cadastro Produtos Brutos'!$A:$B,2,0),"")</f>
        <v>Tomate</v>
      </c>
      <c r="E5" s="11" t="str">
        <f aca="false">IFERROR(VLOOKUP(C5,'Cadastro Produtos Brutos'!$A:$D,4,0),"")</f>
        <v>KG</v>
      </c>
      <c r="F5" s="8" t="s">
        <v>81</v>
      </c>
      <c r="G5" s="14" t="n">
        <v>20</v>
      </c>
      <c r="H5" s="10" t="n">
        <v>6</v>
      </c>
      <c r="I5" s="15" t="n">
        <f aca="false">IF(G5="","",G5*H5)</f>
        <v>120</v>
      </c>
      <c r="J5" s="8" t="s">
        <v>148</v>
      </c>
      <c r="K5" s="13" t="n">
        <v>46213</v>
      </c>
      <c r="L5" s="8" t="s">
        <v>118</v>
      </c>
      <c r="M5" s="8"/>
    </row>
    <row r="6" customFormat="false" ht="15" hidden="false" customHeight="false" outlineLevel="0" collapsed="false">
      <c r="A6" s="13" t="n">
        <v>46206</v>
      </c>
      <c r="B6" s="8" t="s">
        <v>149</v>
      </c>
      <c r="C6" s="8" t="s">
        <v>77</v>
      </c>
      <c r="D6" s="11" t="str">
        <f aca="false">IFERROR(VLOOKUP(C6,'Cadastro Produtos Brutos'!$A:$B,2,0),"")</f>
        <v>Alface Americana</v>
      </c>
      <c r="E6" s="11" t="str">
        <f aca="false">IFERROR(VLOOKUP(C6,'Cadastro Produtos Brutos'!$A:$D,4,0),"")</f>
        <v>UN</v>
      </c>
      <c r="F6" s="8" t="s">
        <v>81</v>
      </c>
      <c r="G6" s="14" t="n">
        <v>15</v>
      </c>
      <c r="H6" s="10" t="n">
        <v>3.5</v>
      </c>
      <c r="I6" s="15" t="n">
        <f aca="false">IF(G6="","",G6*H6)</f>
        <v>52.5</v>
      </c>
      <c r="J6" s="8" t="s">
        <v>150</v>
      </c>
      <c r="K6" s="13" t="n">
        <v>46212</v>
      </c>
      <c r="L6" s="8" t="s">
        <v>118</v>
      </c>
      <c r="M6" s="8"/>
    </row>
  </sheetData>
  <dataValidations count="2">
    <dataValidation allowBlank="true" error="Selecione um valor da lista." errorStyle="stop" errorTitle="Valor inválido" operator="between" showDropDown="false" showErrorMessage="true" showInputMessage="false" sqref="C2:C301" type="list">
      <formula1>'Cadastro Produtos Brutos'!$A$2:$A$301</formula1>
      <formula2>0</formula2>
    </dataValidation>
    <dataValidation allowBlank="true" error="O valor deve ser maior ou igual a 0." errorStyle="stop" errorTitle="Quantidade inválida" operator="greaterThanOrEqual" showDropDown="false" showErrorMessage="true" showInputMessage="false" sqref="G2:H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4" t="s">
        <v>131</v>
      </c>
      <c r="B1" s="4" t="s">
        <v>151</v>
      </c>
      <c r="C1" s="4" t="s">
        <v>54</v>
      </c>
      <c r="D1" s="4" t="s">
        <v>55</v>
      </c>
      <c r="E1" s="4" t="s">
        <v>133</v>
      </c>
      <c r="F1" s="4" t="s">
        <v>152</v>
      </c>
      <c r="G1" s="4" t="s">
        <v>135</v>
      </c>
      <c r="H1" s="4" t="s">
        <v>153</v>
      </c>
      <c r="I1" s="4" t="s">
        <v>114</v>
      </c>
      <c r="J1" s="4" t="s">
        <v>64</v>
      </c>
    </row>
    <row r="2" customFormat="false" ht="15" hidden="false" customHeight="false" outlineLevel="0" collapsed="false">
      <c r="A2" s="13" t="n">
        <v>46207</v>
      </c>
      <c r="B2" s="8" t="s">
        <v>154</v>
      </c>
      <c r="C2" s="8" t="s">
        <v>65</v>
      </c>
      <c r="D2" s="11" t="str">
        <f aca="false">IFERROR(VLOOKUP(C2,'Cadastro Produtos Brutos'!$A:$B,2,0),"")</f>
        <v>Salmão Fresco</v>
      </c>
      <c r="E2" s="11" t="str">
        <f aca="false">IFERROR(VLOOKUP(C2,'Cadastro Produtos Brutos'!$A:$D,4,0),"")</f>
        <v>KG</v>
      </c>
      <c r="F2" s="8" t="s">
        <v>128</v>
      </c>
      <c r="G2" s="14" t="n">
        <v>25</v>
      </c>
      <c r="H2" s="16" t="n">
        <f aca="false">IFERROR(SUMIF('Entrada na Central'!$C:$C,C2,'Entrada na Central'!$G:$G)-SUMIF($C:$C,C2,$G:$G)+G2,0)</f>
        <v>40</v>
      </c>
      <c r="I2" s="8" t="s">
        <v>118</v>
      </c>
      <c r="J2" s="8"/>
    </row>
    <row r="3" customFormat="false" ht="15" hidden="false" customHeight="false" outlineLevel="0" collapsed="false">
      <c r="A3" s="13" t="n">
        <v>46207</v>
      </c>
      <c r="B3" s="8" t="s">
        <v>155</v>
      </c>
      <c r="C3" s="8" t="s">
        <v>72</v>
      </c>
      <c r="D3" s="11" t="str">
        <f aca="false">IFERROR(VLOOKUP(C3,'Cadastro Produtos Brutos'!$A:$B,2,0),"")</f>
        <v>Arroz Japonês</v>
      </c>
      <c r="E3" s="11" t="str">
        <f aca="false">IFERROR(VLOOKUP(C3,'Cadastro Produtos Brutos'!$A:$D,4,0),"")</f>
        <v>KG</v>
      </c>
      <c r="F3" s="8" t="s">
        <v>128</v>
      </c>
      <c r="G3" s="14" t="n">
        <v>20</v>
      </c>
      <c r="H3" s="16" t="n">
        <f aca="false">IFERROR(SUMIF('Entrada na Central'!$C:$C,C3,'Entrada na Central'!$G:$G)-SUMIF($C:$C,C3,$G:$G)+G3,0)</f>
        <v>30</v>
      </c>
      <c r="I3" s="8" t="s">
        <v>118</v>
      </c>
      <c r="J3" s="8"/>
    </row>
    <row r="4" customFormat="false" ht="15" hidden="false" customHeight="false" outlineLevel="0" collapsed="false">
      <c r="A4" s="13" t="n">
        <v>46208</v>
      </c>
      <c r="B4" s="8" t="s">
        <v>156</v>
      </c>
      <c r="C4" s="8" t="s">
        <v>82</v>
      </c>
      <c r="D4" s="11" t="str">
        <f aca="false">IFERROR(VLOOKUP(C4,'Cadastro Produtos Brutos'!$A:$B,2,0),"")</f>
        <v>Filé de Frango</v>
      </c>
      <c r="E4" s="11" t="str">
        <f aca="false">IFERROR(VLOOKUP(C4,'Cadastro Produtos Brutos'!$A:$D,4,0),"")</f>
        <v>KG</v>
      </c>
      <c r="F4" s="8" t="s">
        <v>126</v>
      </c>
      <c r="G4" s="14" t="n">
        <v>15</v>
      </c>
      <c r="H4" s="16" t="n">
        <f aca="false">IFERROR(SUMIF('Entrada na Central'!$C:$C,C4,'Entrada na Central'!$G:$G)-SUMIF($C:$C,C4,$G:$G)+G4,0)</f>
        <v>20</v>
      </c>
      <c r="I4" s="8" t="s">
        <v>118</v>
      </c>
      <c r="J4" s="8" t="s">
        <v>157</v>
      </c>
    </row>
    <row r="5" customFormat="false" ht="15" hidden="false" customHeight="false" outlineLevel="0" collapsed="false">
      <c r="A5" s="13" t="n">
        <v>46208</v>
      </c>
      <c r="B5" s="8" t="s">
        <v>158</v>
      </c>
      <c r="C5" s="8" t="s">
        <v>86</v>
      </c>
      <c r="D5" s="11" t="str">
        <f aca="false">IFERROR(VLOOKUP(C5,'Cadastro Produtos Brutos'!$A:$B,2,0),"")</f>
        <v>Tomate</v>
      </c>
      <c r="E5" s="11" t="str">
        <f aca="false">IFERROR(VLOOKUP(C5,'Cadastro Produtos Brutos'!$A:$D,4,0),"")</f>
        <v>KG</v>
      </c>
      <c r="F5" s="8" t="s">
        <v>128</v>
      </c>
      <c r="G5" s="14" t="n">
        <v>12</v>
      </c>
      <c r="H5" s="16" t="n">
        <f aca="false">IFERROR(SUMIF('Entrada na Central'!$C:$C,C5,'Entrada na Central'!$G:$G)-SUMIF($C:$C,C5,$G:$G)+G5,0)</f>
        <v>20</v>
      </c>
      <c r="I5" s="8" t="s">
        <v>118</v>
      </c>
      <c r="J5" s="8"/>
    </row>
    <row r="6" customFormat="false" ht="15" hidden="false" customHeight="false" outlineLevel="0" collapsed="false">
      <c r="A6" s="13" t="n">
        <v>46209</v>
      </c>
      <c r="B6" s="8" t="s">
        <v>159</v>
      </c>
      <c r="C6" s="8" t="s">
        <v>77</v>
      </c>
      <c r="D6" s="11" t="str">
        <f aca="false">IFERROR(VLOOKUP(C6,'Cadastro Produtos Brutos'!$A:$B,2,0),"")</f>
        <v>Alface Americana</v>
      </c>
      <c r="E6" s="11" t="str">
        <f aca="false">IFERROR(VLOOKUP(C6,'Cadastro Produtos Brutos'!$A:$D,4,0),"")</f>
        <v>UN</v>
      </c>
      <c r="F6" s="8" t="s">
        <v>128</v>
      </c>
      <c r="G6" s="14" t="n">
        <v>10</v>
      </c>
      <c r="H6" s="16" t="n">
        <f aca="false">IFERROR(SUMIF('Entrada na Central'!$C:$C,C6,'Entrada na Central'!$G:$G)-SUMIF($C:$C,C6,$G:$G)+G6,0)</f>
        <v>15</v>
      </c>
      <c r="I6" s="8" t="s">
        <v>118</v>
      </c>
      <c r="J6" s="8"/>
    </row>
    <row r="7" customFormat="false" ht="15" hidden="false" customHeight="false" outlineLevel="0" collapsed="false">
      <c r="A7" s="13" t="n">
        <v>46209</v>
      </c>
      <c r="B7" s="8" t="s">
        <v>160</v>
      </c>
      <c r="C7" s="8" t="s">
        <v>82</v>
      </c>
      <c r="D7" s="11" t="str">
        <f aca="false">IFERROR(VLOOKUP(C7,'Cadastro Produtos Brutos'!$A:$B,2,0),"")</f>
        <v>Filé de Frango</v>
      </c>
      <c r="E7" s="11" t="str">
        <f aca="false">IFERROR(VLOOKUP(C7,'Cadastro Produtos Brutos'!$A:$D,4,0),"")</f>
        <v>KG</v>
      </c>
      <c r="F7" s="8" t="s">
        <v>121</v>
      </c>
      <c r="G7" s="14" t="n">
        <v>5</v>
      </c>
      <c r="H7" s="16" t="n">
        <f aca="false">IFERROR(SUMIF('Entrada na Central'!$C:$C,C7,'Entrada na Central'!$G:$G)-SUMIF($C:$C,C7,$G:$G)+G7,0)</f>
        <v>10</v>
      </c>
      <c r="I7" s="8" t="s">
        <v>118</v>
      </c>
      <c r="J7" s="8" t="s">
        <v>157</v>
      </c>
    </row>
  </sheetData>
  <dataValidations count="3">
    <dataValidation allowBlank="true" error="Selecione um valor da lista." errorStyle="stop" errorTitle="Valor inválido" operator="between" showDropDown="false" showErrorMessage="true" showInputMessage="false" sqref="C2:C301" type="list">
      <formula1>'Cadastro Produtos Brutos'!$A$2:$A$301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F2:F301" type="list">
      <formula1>"Buffet Fran Casaria,Sushi,Restaurante Arboreto,Cozinha de Produção de Fracionados"</formula1>
      <formula2>0</formula2>
    </dataValidation>
    <dataValidation allowBlank="true" error="A quantidade de saída não pode ser maior que o saldo disponível na Central." errorStyle="stop" errorTitle="Saldo insuficiente" operator="lessThanOrEqual" showDropDown="false" showErrorMessage="true" showInputMessage="false" sqref="G2:G301" type="decimal">
      <formula1>H2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4" t="s">
        <v>131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133</v>
      </c>
      <c r="I1" s="4" t="s">
        <v>167</v>
      </c>
      <c r="J1" s="4" t="s">
        <v>114</v>
      </c>
      <c r="K1" s="4" t="s">
        <v>64</v>
      </c>
    </row>
    <row r="2" customFormat="false" ht="15" hidden="false" customHeight="false" outlineLevel="0" collapsed="false">
      <c r="A2" s="13" t="n">
        <v>46209</v>
      </c>
      <c r="B2" s="8" t="s">
        <v>168</v>
      </c>
      <c r="C2" s="8" t="s">
        <v>98</v>
      </c>
      <c r="D2" s="11" t="str">
        <f aca="false">IFERROR(VLOOKUP(C2,'Cadastro Produtos Fracionados'!$A:$B,2,0),"")</f>
        <v>Salmão Fatiado para Sushi</v>
      </c>
      <c r="E2" s="8" t="s">
        <v>65</v>
      </c>
      <c r="F2" s="11" t="str">
        <f aca="false">IFERROR(VLOOKUP(E2,'Cadastro Produtos Brutos'!$A:$B,2,0),"")</f>
        <v>Salmão Fresco</v>
      </c>
      <c r="G2" s="14" t="n">
        <v>20</v>
      </c>
      <c r="H2" s="11" t="str">
        <f aca="false">IFERROR(VLOOKUP(E2,'Cadastro Produtos Brutos'!$A:$D,4,0),"")</f>
        <v>KG</v>
      </c>
      <c r="I2" s="16" t="n">
        <f aca="false">IFERROR(SUMIFS('Saída da Central'!$G:$G,'Saída da Central'!$C:$C,E2,'Saída da Central'!$F:$F,"Cozinha de Produção de Fracionados")-SUMIF($E:$E,E2,$G:$G)+G2,0)</f>
        <v>25</v>
      </c>
      <c r="J2" s="8" t="s">
        <v>118</v>
      </c>
      <c r="K2" s="8" t="s">
        <v>169</v>
      </c>
    </row>
    <row r="3" customFormat="false" ht="15" hidden="false" customHeight="false" outlineLevel="0" collapsed="false">
      <c r="A3" s="13" t="n">
        <v>46209</v>
      </c>
      <c r="B3" s="8" t="s">
        <v>170</v>
      </c>
      <c r="C3" s="8" t="s">
        <v>101</v>
      </c>
      <c r="D3" s="11" t="str">
        <f aca="false">IFERROR(VLOOKUP(C3,'Cadastro Produtos Fracionados'!$A:$B,2,0),"")</f>
        <v>Arroz Temperado para Sushi</v>
      </c>
      <c r="E3" s="8" t="s">
        <v>72</v>
      </c>
      <c r="F3" s="11" t="str">
        <f aca="false">IFERROR(VLOOKUP(E3,'Cadastro Produtos Brutos'!$A:$B,2,0),"")</f>
        <v>Arroz Japonês</v>
      </c>
      <c r="G3" s="14" t="n">
        <v>18</v>
      </c>
      <c r="H3" s="11" t="str">
        <f aca="false">IFERROR(VLOOKUP(E3,'Cadastro Produtos Brutos'!$A:$D,4,0),"")</f>
        <v>KG</v>
      </c>
      <c r="I3" s="16" t="n">
        <f aca="false">IFERROR(SUMIFS('Saída da Central'!$G:$G,'Saída da Central'!$C:$C,E3,'Saída da Central'!$F:$F,"Cozinha de Produção de Fracionados")-SUMIF($E:$E,E3,$G:$G)+G3,0)</f>
        <v>20</v>
      </c>
      <c r="J3" s="8" t="s">
        <v>118</v>
      </c>
      <c r="K3" s="8" t="s">
        <v>171</v>
      </c>
    </row>
    <row r="4" customFormat="false" ht="15" hidden="false" customHeight="false" outlineLevel="0" collapsed="false">
      <c r="A4" s="13" t="n">
        <v>46209</v>
      </c>
      <c r="B4" s="8" t="s">
        <v>172</v>
      </c>
      <c r="C4" s="8" t="s">
        <v>104</v>
      </c>
      <c r="D4" s="11" t="str">
        <f aca="false">IFERROR(VLOOKUP(C4,'Cadastro Produtos Fracionados'!$A:$B,2,0),"")</f>
        <v>Alface Higienizada e Cortada</v>
      </c>
      <c r="E4" s="8" t="s">
        <v>77</v>
      </c>
      <c r="F4" s="11" t="str">
        <f aca="false">IFERROR(VLOOKUP(E4,'Cadastro Produtos Brutos'!$A:$B,2,0),"")</f>
        <v>Alface Americana</v>
      </c>
      <c r="G4" s="14" t="n">
        <v>10</v>
      </c>
      <c r="H4" s="11" t="str">
        <f aca="false">IFERROR(VLOOKUP(E4,'Cadastro Produtos Brutos'!$A:$D,4,0),"")</f>
        <v>UN</v>
      </c>
      <c r="I4" s="16" t="n">
        <f aca="false">IFERROR(SUMIFS('Saída da Central'!$G:$G,'Saída da Central'!$C:$C,E4,'Saída da Central'!$F:$F,"Cozinha de Produção de Fracionados")-SUMIF($E:$E,E4,$G:$G)+G4,0)</f>
        <v>10</v>
      </c>
      <c r="J4" s="8" t="s">
        <v>118</v>
      </c>
      <c r="K4" s="8" t="s">
        <v>173</v>
      </c>
    </row>
    <row r="5" customFormat="false" ht="15" hidden="false" customHeight="false" outlineLevel="0" collapsed="false">
      <c r="A5" s="13" t="n">
        <v>46209</v>
      </c>
      <c r="B5" s="8" t="s">
        <v>174</v>
      </c>
      <c r="C5" s="8" t="s">
        <v>109</v>
      </c>
      <c r="D5" s="11" t="str">
        <f aca="false">IFERROR(VLOOKUP(C5,'Cadastro Produtos Fracionados'!$A:$B,2,0),"")</f>
        <v>Tomate Picado</v>
      </c>
      <c r="E5" s="8" t="s">
        <v>86</v>
      </c>
      <c r="F5" s="11" t="str">
        <f aca="false">IFERROR(VLOOKUP(E5,'Cadastro Produtos Brutos'!$A:$B,2,0),"")</f>
        <v>Tomate</v>
      </c>
      <c r="G5" s="14" t="n">
        <v>12</v>
      </c>
      <c r="H5" s="11" t="str">
        <f aca="false">IFERROR(VLOOKUP(E5,'Cadastro Produtos Brutos'!$A:$D,4,0),"")</f>
        <v>KG</v>
      </c>
      <c r="I5" s="16" t="n">
        <f aca="false">IFERROR(SUMIFS('Saída da Central'!$G:$G,'Saída da Central'!$C:$C,E5,'Saída da Central'!$F:$F,"Cozinha de Produção de Fracionados")-SUMIF($E:$E,E5,$G:$G)+G5,0)</f>
        <v>12</v>
      </c>
      <c r="J5" s="8" t="s">
        <v>118</v>
      </c>
      <c r="K5" s="8" t="s">
        <v>175</v>
      </c>
    </row>
  </sheetData>
  <dataValidations count="3">
    <dataValidation allowBlank="true" error="Selecione um valor da lista." errorStyle="stop" errorTitle="Valor inválido" operator="between" showDropDown="false" showErrorMessage="true" showInputMessage="false" sqref="C2:C301" type="list">
      <formula1>'Cadastro Produtos Fracionados'!$A$2:$A$301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E2:E301" type="list">
      <formula1>'Cadastro Produtos Brutos'!$A$2:$A$301</formula1>
      <formula2>0</formula2>
    </dataValidation>
    <dataValidation allowBlank="true" error="A quantidade utilizada não pode ser maior que o saldo de bruto disponível na Cozinha de Fracionamento." errorStyle="stop" errorTitle="Saldo insuficiente" operator="lessThanOrEqual" showDropDown="false" showErrorMessage="true" showInputMessage="false" sqref="G2:G301" type="decimal">
      <formula1>I2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4" t="s">
        <v>176</v>
      </c>
      <c r="B1" s="4" t="s">
        <v>161</v>
      </c>
      <c r="C1" s="4" t="s">
        <v>177</v>
      </c>
      <c r="D1" s="4" t="s">
        <v>163</v>
      </c>
      <c r="E1" s="4" t="s">
        <v>178</v>
      </c>
      <c r="F1" s="4" t="s">
        <v>133</v>
      </c>
      <c r="G1" s="4" t="s">
        <v>60</v>
      </c>
      <c r="H1" s="4" t="s">
        <v>139</v>
      </c>
      <c r="I1" s="4" t="s">
        <v>179</v>
      </c>
      <c r="J1" s="4" t="s">
        <v>114</v>
      </c>
      <c r="K1" s="4" t="s">
        <v>64</v>
      </c>
    </row>
    <row r="2" customFormat="false" ht="15" hidden="false" customHeight="false" outlineLevel="0" collapsed="false">
      <c r="A2" s="13" t="n">
        <v>46209</v>
      </c>
      <c r="B2" s="8" t="s">
        <v>168</v>
      </c>
      <c r="C2" s="8" t="s">
        <v>98</v>
      </c>
      <c r="D2" s="11" t="str">
        <f aca="false">IFERROR(VLOOKUP(C2,'Cadastro Produtos Fracionados'!$A:$B,2,0),"")</f>
        <v>Salmão Fatiado para Sushi</v>
      </c>
      <c r="E2" s="14" t="n">
        <v>17</v>
      </c>
      <c r="F2" s="11" t="str">
        <f aca="false">IFERROR(VLOOKUP(C2,'Cadastro Produtos Fracionados'!$A:$D,4,0),"")</f>
        <v>KG</v>
      </c>
      <c r="G2" s="17" t="n">
        <f aca="false">IFERROR(VLOOKUP(C2,'Cadastro Produtos Fracionados'!$A:$J,10,0),"")</f>
        <v>2</v>
      </c>
      <c r="H2" s="18" t="n">
        <f aca="false">IF(A2="","",A2+G2)</f>
        <v>46211</v>
      </c>
      <c r="I2" s="8" t="s">
        <v>128</v>
      </c>
      <c r="J2" s="8" t="s">
        <v>118</v>
      </c>
      <c r="K2" s="8" t="s">
        <v>180</v>
      </c>
    </row>
    <row r="3" customFormat="false" ht="15" hidden="false" customHeight="false" outlineLevel="0" collapsed="false">
      <c r="A3" s="13" t="n">
        <v>46209</v>
      </c>
      <c r="B3" s="8" t="s">
        <v>170</v>
      </c>
      <c r="C3" s="8" t="s">
        <v>101</v>
      </c>
      <c r="D3" s="11" t="str">
        <f aca="false">IFERROR(VLOOKUP(C3,'Cadastro Produtos Fracionados'!$A:$B,2,0),"")</f>
        <v>Arroz Temperado para Sushi</v>
      </c>
      <c r="E3" s="14" t="n">
        <v>22</v>
      </c>
      <c r="F3" s="11" t="str">
        <f aca="false">IFERROR(VLOOKUP(C3,'Cadastro Produtos Fracionados'!$A:$D,4,0),"")</f>
        <v>KG</v>
      </c>
      <c r="G3" s="17" t="n">
        <f aca="false">IFERROR(VLOOKUP(C3,'Cadastro Produtos Fracionados'!$A:$J,10,0),"")</f>
        <v>2</v>
      </c>
      <c r="H3" s="18" t="n">
        <f aca="false">IF(A3="","",A3+G3)</f>
        <v>46211</v>
      </c>
      <c r="I3" s="8" t="s">
        <v>128</v>
      </c>
      <c r="J3" s="8" t="s">
        <v>118</v>
      </c>
      <c r="K3" s="8" t="s">
        <v>181</v>
      </c>
    </row>
    <row r="4" customFormat="false" ht="15" hidden="false" customHeight="false" outlineLevel="0" collapsed="false">
      <c r="A4" s="13" t="n">
        <v>46209</v>
      </c>
      <c r="B4" s="8" t="s">
        <v>172</v>
      </c>
      <c r="C4" s="8" t="s">
        <v>104</v>
      </c>
      <c r="D4" s="11" t="str">
        <f aca="false">IFERROR(VLOOKUP(C4,'Cadastro Produtos Fracionados'!$A:$B,2,0),"")</f>
        <v>Alface Higienizada e Cortada</v>
      </c>
      <c r="E4" s="14" t="n">
        <v>8</v>
      </c>
      <c r="F4" s="11" t="str">
        <f aca="false">IFERROR(VLOOKUP(C4,'Cadastro Produtos Fracionados'!$A:$D,4,0),"")</f>
        <v>KG</v>
      </c>
      <c r="G4" s="17" t="n">
        <f aca="false">IFERROR(VLOOKUP(C4,'Cadastro Produtos Fracionados'!$A:$J,10,0),"")</f>
        <v>3</v>
      </c>
      <c r="H4" s="18" t="n">
        <f aca="false">IF(A4="","",A4+G4)</f>
        <v>46212</v>
      </c>
      <c r="I4" s="8" t="s">
        <v>128</v>
      </c>
      <c r="J4" s="8" t="s">
        <v>118</v>
      </c>
      <c r="K4" s="8" t="s">
        <v>182</v>
      </c>
    </row>
    <row r="5" customFormat="false" ht="15" hidden="false" customHeight="false" outlineLevel="0" collapsed="false">
      <c r="A5" s="13" t="n">
        <v>46209</v>
      </c>
      <c r="B5" s="8" t="s">
        <v>174</v>
      </c>
      <c r="C5" s="8" t="s">
        <v>109</v>
      </c>
      <c r="D5" s="11" t="str">
        <f aca="false">IFERROR(VLOOKUP(C5,'Cadastro Produtos Fracionados'!$A:$B,2,0),"")</f>
        <v>Tomate Picado</v>
      </c>
      <c r="E5" s="14" t="n">
        <v>11</v>
      </c>
      <c r="F5" s="11" t="str">
        <f aca="false">IFERROR(VLOOKUP(C5,'Cadastro Produtos Fracionados'!$A:$D,4,0),"")</f>
        <v>KG</v>
      </c>
      <c r="G5" s="17" t="n">
        <f aca="false">IFERROR(VLOOKUP(C5,'Cadastro Produtos Fracionados'!$A:$J,10,0),"")</f>
        <v>2</v>
      </c>
      <c r="H5" s="18" t="n">
        <f aca="false">IF(A5="","",A5+G5)</f>
        <v>46211</v>
      </c>
      <c r="I5" s="8" t="s">
        <v>128</v>
      </c>
      <c r="J5" s="8" t="s">
        <v>118</v>
      </c>
      <c r="K5" s="8" t="s">
        <v>183</v>
      </c>
    </row>
  </sheetData>
  <dataValidations count="2">
    <dataValidation allowBlank="true" error="Selecione um valor da lista." errorStyle="stop" errorTitle="Valor inválido" operator="between" showDropDown="false" showErrorMessage="true" showInputMessage="false" sqref="C2:C301" type="list">
      <formula1>'Cadastro Produtos Fracionados'!$A$2:$A$301</formula1>
      <formula2>0</formula2>
    </dataValidation>
    <dataValidation allowBlank="true" error="O valor deve ser maior ou igual a 0." errorStyle="stop" errorTitle="Quantidade inválida" operator="greaterThanOrEqual" showDropDown="false" showErrorMessage="true" showInputMessage="false" sqref="E2:E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4" t="s">
        <v>131</v>
      </c>
      <c r="B1" s="4" t="s">
        <v>151</v>
      </c>
      <c r="C1" s="4" t="s">
        <v>177</v>
      </c>
      <c r="D1" s="4" t="s">
        <v>163</v>
      </c>
      <c r="E1" s="4" t="s">
        <v>133</v>
      </c>
      <c r="F1" s="4" t="s">
        <v>152</v>
      </c>
      <c r="G1" s="4" t="s">
        <v>135</v>
      </c>
      <c r="H1" s="4" t="s">
        <v>184</v>
      </c>
      <c r="I1" s="4" t="s">
        <v>114</v>
      </c>
      <c r="J1" s="4" t="s">
        <v>64</v>
      </c>
    </row>
    <row r="2" customFormat="false" ht="15" hidden="false" customHeight="false" outlineLevel="0" collapsed="false">
      <c r="A2" s="13" t="n">
        <v>46210</v>
      </c>
      <c r="B2" s="8" t="s">
        <v>185</v>
      </c>
      <c r="C2" s="8" t="s">
        <v>98</v>
      </c>
      <c r="D2" s="11" t="str">
        <f aca="false">IFERROR(VLOOKUP(C2,'Cadastro Produtos Fracionados'!$A:$B,2,0),"")</f>
        <v>Salmão Fatiado para Sushi</v>
      </c>
      <c r="E2" s="11" t="str">
        <f aca="false">IFERROR(VLOOKUP(C2,'Cadastro Produtos Fracionados'!$A:$D,4,0),"")</f>
        <v>KG</v>
      </c>
      <c r="F2" s="8" t="s">
        <v>124</v>
      </c>
      <c r="G2" s="14" t="n">
        <v>10</v>
      </c>
      <c r="H2" s="16" t="n">
        <f aca="false">IFERROR(SUMIF('Entrada Estoque Fracionado'!$C:$C,C2,'Entrada Estoque Fracionado'!$E:$E)-SUMIF($C:$C,C2,$G:$G)+G2,0)</f>
        <v>17</v>
      </c>
      <c r="I2" s="8" t="s">
        <v>118</v>
      </c>
      <c r="J2" s="8"/>
    </row>
    <row r="3" customFormat="false" ht="15" hidden="false" customHeight="false" outlineLevel="0" collapsed="false">
      <c r="A3" s="13" t="n">
        <v>46210</v>
      </c>
      <c r="B3" s="8" t="s">
        <v>186</v>
      </c>
      <c r="C3" s="8" t="s">
        <v>101</v>
      </c>
      <c r="D3" s="11" t="str">
        <f aca="false">IFERROR(VLOOKUP(C3,'Cadastro Produtos Fracionados'!$A:$B,2,0),"")</f>
        <v>Arroz Temperado para Sushi</v>
      </c>
      <c r="E3" s="11" t="str">
        <f aca="false">IFERROR(VLOOKUP(C3,'Cadastro Produtos Fracionados'!$A:$D,4,0),"")</f>
        <v>KG</v>
      </c>
      <c r="F3" s="8" t="s">
        <v>124</v>
      </c>
      <c r="G3" s="14" t="n">
        <v>12</v>
      </c>
      <c r="H3" s="16" t="n">
        <f aca="false">IFERROR(SUMIF('Entrada Estoque Fracionado'!$C:$C,C3,'Entrada Estoque Fracionado'!$E:$E)-SUMIF($C:$C,C3,$G:$G)+G3,0)</f>
        <v>22</v>
      </c>
      <c r="I3" s="8" t="s">
        <v>118</v>
      </c>
      <c r="J3" s="8"/>
    </row>
    <row r="4" customFormat="false" ht="15" hidden="false" customHeight="false" outlineLevel="0" collapsed="false">
      <c r="A4" s="13" t="n">
        <v>46210</v>
      </c>
      <c r="B4" s="8" t="s">
        <v>187</v>
      </c>
      <c r="C4" s="8" t="s">
        <v>104</v>
      </c>
      <c r="D4" s="11" t="str">
        <f aca="false">IFERROR(VLOOKUP(C4,'Cadastro Produtos Fracionados'!$A:$B,2,0),"")</f>
        <v>Alface Higienizada e Cortada</v>
      </c>
      <c r="E4" s="11" t="str">
        <f aca="false">IFERROR(VLOOKUP(C4,'Cadastro Produtos Fracionados'!$A:$D,4,0),"")</f>
        <v>KG</v>
      </c>
      <c r="F4" s="8" t="s">
        <v>121</v>
      </c>
      <c r="G4" s="14" t="n">
        <v>5</v>
      </c>
      <c r="H4" s="16" t="n">
        <f aca="false">IFERROR(SUMIF('Entrada Estoque Fracionado'!$C:$C,C4,'Entrada Estoque Fracionado'!$E:$E)-SUMIF($C:$C,C4,$G:$G)+G4,0)</f>
        <v>8</v>
      </c>
      <c r="I4" s="8" t="s">
        <v>118</v>
      </c>
      <c r="J4" s="8"/>
    </row>
    <row r="5" customFormat="false" ht="15" hidden="false" customHeight="false" outlineLevel="0" collapsed="false">
      <c r="A5" s="13" t="n">
        <v>46210</v>
      </c>
      <c r="B5" s="8" t="s">
        <v>188</v>
      </c>
      <c r="C5" s="8" t="s">
        <v>109</v>
      </c>
      <c r="D5" s="11" t="str">
        <f aca="false">IFERROR(VLOOKUP(C5,'Cadastro Produtos Fracionados'!$A:$B,2,0),"")</f>
        <v>Tomate Picado</v>
      </c>
      <c r="E5" s="11" t="str">
        <f aca="false">IFERROR(VLOOKUP(C5,'Cadastro Produtos Fracionados'!$A:$D,4,0),"")</f>
        <v>KG</v>
      </c>
      <c r="F5" s="8" t="s">
        <v>126</v>
      </c>
      <c r="G5" s="14" t="n">
        <v>6</v>
      </c>
      <c r="H5" s="16" t="n">
        <f aca="false">IFERROR(SUMIF('Entrada Estoque Fracionado'!$C:$C,C5,'Entrada Estoque Fracionado'!$E:$E)-SUMIF($C:$C,C5,$G:$G)+G5,0)</f>
        <v>11</v>
      </c>
      <c r="I5" s="8" t="s">
        <v>118</v>
      </c>
      <c r="J5" s="8"/>
    </row>
  </sheetData>
  <dataValidations count="3">
    <dataValidation allowBlank="true" error="Selecione um valor da lista." errorStyle="stop" errorTitle="Valor inválido" operator="between" showDropDown="false" showErrorMessage="true" showInputMessage="false" sqref="C2:C301" type="list">
      <formula1>'Cadastro Produtos Fracionados'!$A$2:$A$301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F2:F301" type="list">
      <formula1>"Buffet Fran Casaria,Sushi,Restaurante Arboreto"</formula1>
      <formula2>0</formula2>
    </dataValidation>
    <dataValidation allowBlank="true" error="A quantidade de saída não pode ser maior que o saldo disponível de fracionado." errorStyle="stop" errorTitle="Saldo insuficiente" operator="lessThanOrEqual" showDropDown="false" showErrorMessage="true" showInputMessage="false" sqref="G2:G301" type="decimal">
      <formula1>H2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4" t="s">
        <v>131</v>
      </c>
      <c r="B1" s="4" t="s">
        <v>189</v>
      </c>
      <c r="C1" s="4" t="s">
        <v>190</v>
      </c>
      <c r="D1" s="4" t="s">
        <v>191</v>
      </c>
      <c r="E1" s="4" t="s">
        <v>54</v>
      </c>
      <c r="F1" s="4" t="s">
        <v>55</v>
      </c>
      <c r="G1" s="4" t="s">
        <v>135</v>
      </c>
      <c r="H1" s="4" t="s">
        <v>133</v>
      </c>
      <c r="I1" s="4" t="s">
        <v>192</v>
      </c>
      <c r="J1" s="4" t="s">
        <v>114</v>
      </c>
      <c r="K1" s="4" t="s">
        <v>64</v>
      </c>
    </row>
    <row r="2" customFormat="false" ht="15" hidden="false" customHeight="false" outlineLevel="0" collapsed="false">
      <c r="A2" s="19" t="s">
        <v>193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A3" s="18" t="n">
        <f aca="false">IF('Entrada na Central'!A2="","",'Entrada na Central'!A2)</f>
        <v>46204</v>
      </c>
      <c r="B3" s="20" t="str">
        <f aca="false">IF('Entrada na Central'!A2="","","Entrada Central")</f>
        <v>Entrada Central</v>
      </c>
      <c r="C3" s="20" t="str">
        <f aca="false">IF('Entrada na Central'!A2="","",'Entrada na Central'!F2)</f>
        <v>Fornecedor Mar Azul</v>
      </c>
      <c r="D3" s="20" t="str">
        <f aca="false">IF('Entrada na Central'!A2="","","Central de Distribuição")</f>
        <v>Central de Distribuição</v>
      </c>
      <c r="E3" s="20" t="str">
        <f aca="false">IF('Entrada na Central'!A2="","",'Entrada na Central'!C2)</f>
        <v>BR-001</v>
      </c>
      <c r="F3" s="20" t="str">
        <f aca="false">IF('Entrada na Central'!A2="","",'Entrada na Central'!D2)</f>
        <v>Salmão Fresco</v>
      </c>
      <c r="G3" s="16" t="n">
        <f aca="false">IF('Entrada na Central'!A2="","",'Entrada na Central'!G2)</f>
        <v>40</v>
      </c>
      <c r="H3" s="20" t="str">
        <f aca="false">IF('Entrada na Central'!A2="","",'Entrada na Central'!E2)</f>
        <v>KG</v>
      </c>
      <c r="I3" s="20" t="str">
        <f aca="false">IF('Entrada na Central'!A2="","",'Entrada na Central'!B2&amp;" / "&amp;'Entrada na Central'!J2)</f>
        <v>NF-1001 / L001</v>
      </c>
      <c r="J3" s="20" t="str">
        <f aca="false">IF('Entrada na Central'!A2="","",'Entrada na Central'!L2&amp;"")</f>
        <v>Igor Morgado</v>
      </c>
      <c r="K3" s="20" t="str">
        <f aca="false">IF('Entrada na Central'!A2="","",'Entrada na Central'!M2&amp;"")</f>
        <v/>
      </c>
    </row>
    <row r="4" customFormat="false" ht="15" hidden="false" customHeight="false" outlineLevel="0" collapsed="false">
      <c r="A4" s="18" t="n">
        <f aca="false">IF('Entrada na Central'!A3="","",'Entrada na Central'!A3)</f>
        <v>46204</v>
      </c>
      <c r="B4" s="20" t="str">
        <f aca="false">IF('Entrada na Central'!A3="","","Entrada Central")</f>
        <v>Entrada Central</v>
      </c>
      <c r="C4" s="20" t="str">
        <f aca="false">IF('Entrada na Central'!A3="","",'Entrada na Central'!F3)</f>
        <v>Fornecedor Grão Bom</v>
      </c>
      <c r="D4" s="20" t="str">
        <f aca="false">IF('Entrada na Central'!A3="","","Central de Distribuição")</f>
        <v>Central de Distribuição</v>
      </c>
      <c r="E4" s="20" t="str">
        <f aca="false">IF('Entrada na Central'!A3="","",'Entrada na Central'!C3)</f>
        <v>BR-002</v>
      </c>
      <c r="F4" s="20" t="str">
        <f aca="false">IF('Entrada na Central'!A3="","",'Entrada na Central'!D3)</f>
        <v>Arroz Japonês</v>
      </c>
      <c r="G4" s="16" t="n">
        <f aca="false">IF('Entrada na Central'!A3="","",'Entrada na Central'!G3)</f>
        <v>30</v>
      </c>
      <c r="H4" s="20" t="str">
        <f aca="false">IF('Entrada na Central'!A3="","",'Entrada na Central'!E3)</f>
        <v>KG</v>
      </c>
      <c r="I4" s="20" t="str">
        <f aca="false">IF('Entrada na Central'!A3="","",'Entrada na Central'!B3&amp;" / "&amp;'Entrada na Central'!J3)</f>
        <v>NF-1002 / L002</v>
      </c>
      <c r="J4" s="20" t="str">
        <f aca="false">IF('Entrada na Central'!A3="","",'Entrada na Central'!L3&amp;"")</f>
        <v>Igor Morgado</v>
      </c>
      <c r="K4" s="20" t="str">
        <f aca="false">IF('Entrada na Central'!A3="","",'Entrada na Central'!M3&amp;"")</f>
        <v/>
      </c>
    </row>
    <row r="5" customFormat="false" ht="15" hidden="false" customHeight="false" outlineLevel="0" collapsed="false">
      <c r="A5" s="18" t="n">
        <f aca="false">IF('Entrada na Central'!A4="","",'Entrada na Central'!A4)</f>
        <v>46205</v>
      </c>
      <c r="B5" s="20" t="str">
        <f aca="false">IF('Entrada na Central'!A4="","","Entrada Central")</f>
        <v>Entrada Central</v>
      </c>
      <c r="C5" s="20" t="str">
        <f aca="false">IF('Entrada na Central'!A4="","",'Entrada na Central'!F4)</f>
        <v>Fornecedor Avícola Sul</v>
      </c>
      <c r="D5" s="20" t="str">
        <f aca="false">IF('Entrada na Central'!A4="","","Central de Distribuição")</f>
        <v>Central de Distribuição</v>
      </c>
      <c r="E5" s="20" t="str">
        <f aca="false">IF('Entrada na Central'!A4="","",'Entrada na Central'!C4)</f>
        <v>BR-004</v>
      </c>
      <c r="F5" s="20" t="str">
        <f aca="false">IF('Entrada na Central'!A4="","",'Entrada na Central'!D4)</f>
        <v>Filé de Frango</v>
      </c>
      <c r="G5" s="16" t="n">
        <f aca="false">IF('Entrada na Central'!A4="","",'Entrada na Central'!G4)</f>
        <v>25</v>
      </c>
      <c r="H5" s="20" t="str">
        <f aca="false">IF('Entrada na Central'!A4="","",'Entrada na Central'!E4)</f>
        <v>KG</v>
      </c>
      <c r="I5" s="20" t="str">
        <f aca="false">IF('Entrada na Central'!A4="","",'Entrada na Central'!B4&amp;" / "&amp;'Entrada na Central'!J4)</f>
        <v>NF-1003 / L003</v>
      </c>
      <c r="J5" s="20" t="str">
        <f aca="false">IF('Entrada na Central'!A4="","",'Entrada na Central'!L4&amp;"")</f>
        <v>Igor Morgado</v>
      </c>
      <c r="K5" s="20" t="str">
        <f aca="false">IF('Entrada na Central'!A4="","",'Entrada na Central'!M4&amp;"")</f>
        <v/>
      </c>
    </row>
    <row r="6" customFormat="false" ht="15" hidden="false" customHeight="false" outlineLevel="0" collapsed="false">
      <c r="A6" s="18" t="n">
        <f aca="false">IF('Entrada na Central'!A5="","",'Entrada na Central'!A5)</f>
        <v>46205</v>
      </c>
      <c r="B6" s="20" t="str">
        <f aca="false">IF('Entrada na Central'!A5="","","Entrada Central")</f>
        <v>Entrada Central</v>
      </c>
      <c r="C6" s="20" t="str">
        <f aca="false">IF('Entrada na Central'!A5="","",'Entrada na Central'!F5)</f>
        <v>Fornecedor Horta Feliz</v>
      </c>
      <c r="D6" s="20" t="str">
        <f aca="false">IF('Entrada na Central'!A5="","","Central de Distribuição")</f>
        <v>Central de Distribuição</v>
      </c>
      <c r="E6" s="20" t="str">
        <f aca="false">IF('Entrada na Central'!A5="","",'Entrada na Central'!C5)</f>
        <v>BR-005</v>
      </c>
      <c r="F6" s="20" t="str">
        <f aca="false">IF('Entrada na Central'!A5="","",'Entrada na Central'!D5)</f>
        <v>Tomate</v>
      </c>
      <c r="G6" s="16" t="n">
        <f aca="false">IF('Entrada na Central'!A5="","",'Entrada na Central'!G5)</f>
        <v>20</v>
      </c>
      <c r="H6" s="20" t="str">
        <f aca="false">IF('Entrada na Central'!A5="","",'Entrada na Central'!E5)</f>
        <v>KG</v>
      </c>
      <c r="I6" s="20" t="str">
        <f aca="false">IF('Entrada na Central'!A5="","",'Entrada na Central'!B5&amp;" / "&amp;'Entrada na Central'!J5)</f>
        <v>NF-1004 / L004</v>
      </c>
      <c r="J6" s="20" t="str">
        <f aca="false">IF('Entrada na Central'!A5="","",'Entrada na Central'!L5&amp;"")</f>
        <v>Igor Morgado</v>
      </c>
      <c r="K6" s="20" t="str">
        <f aca="false">IF('Entrada na Central'!A5="","",'Entrada na Central'!M5&amp;"")</f>
        <v/>
      </c>
    </row>
    <row r="7" customFormat="false" ht="15" hidden="false" customHeight="false" outlineLevel="0" collapsed="false">
      <c r="A7" s="18" t="n">
        <f aca="false">IF('Entrada na Central'!A6="","",'Entrada na Central'!A6)</f>
        <v>46206</v>
      </c>
      <c r="B7" s="20" t="str">
        <f aca="false">IF('Entrada na Central'!A6="","","Entrada Central")</f>
        <v>Entrada Central</v>
      </c>
      <c r="C7" s="20" t="str">
        <f aca="false">IF('Entrada na Central'!A6="","",'Entrada na Central'!F6)</f>
        <v>Fornecedor Horta Feliz</v>
      </c>
      <c r="D7" s="20" t="str">
        <f aca="false">IF('Entrada na Central'!A6="","","Central de Distribuição")</f>
        <v>Central de Distribuição</v>
      </c>
      <c r="E7" s="20" t="str">
        <f aca="false">IF('Entrada na Central'!A6="","",'Entrada na Central'!C6)</f>
        <v>BR-003</v>
      </c>
      <c r="F7" s="20" t="str">
        <f aca="false">IF('Entrada na Central'!A6="","",'Entrada na Central'!D6)</f>
        <v>Alface Americana</v>
      </c>
      <c r="G7" s="16" t="n">
        <f aca="false">IF('Entrada na Central'!A6="","",'Entrada na Central'!G6)</f>
        <v>15</v>
      </c>
      <c r="H7" s="20" t="str">
        <f aca="false">IF('Entrada na Central'!A6="","",'Entrada na Central'!E6)</f>
        <v>UN</v>
      </c>
      <c r="I7" s="20" t="str">
        <f aca="false">IF('Entrada na Central'!A6="","",'Entrada na Central'!B6&amp;" / "&amp;'Entrada na Central'!J6)</f>
        <v>NF-1005 / L005</v>
      </c>
      <c r="J7" s="20" t="str">
        <f aca="false">IF('Entrada na Central'!A6="","",'Entrada na Central'!L6&amp;"")</f>
        <v>Igor Morgado</v>
      </c>
      <c r="K7" s="20" t="str">
        <f aca="false">IF('Entrada na Central'!A6="","",'Entrada na Central'!M6&amp;"")</f>
        <v/>
      </c>
    </row>
    <row r="8" customFormat="false" ht="15" hidden="false" customHeight="false" outlineLevel="0" collapsed="false">
      <c r="A8" s="18" t="str">
        <f aca="false">IF('Entrada na Central'!A7="","",'Entrada na Central'!A7)</f>
        <v/>
      </c>
      <c r="B8" s="20" t="str">
        <f aca="false">IF('Entrada na Central'!A7="","","Entrada Central")</f>
        <v/>
      </c>
      <c r="C8" s="20" t="str">
        <f aca="false">IF('Entrada na Central'!A7="","",'Entrada na Central'!F7)</f>
        <v/>
      </c>
      <c r="D8" s="20" t="str">
        <f aca="false">IF('Entrada na Central'!A7="","","Central de Distribuição")</f>
        <v/>
      </c>
      <c r="E8" s="20" t="str">
        <f aca="false">IF('Entrada na Central'!A7="","",'Entrada na Central'!C7)</f>
        <v/>
      </c>
      <c r="F8" s="20" t="str">
        <f aca="false">IF('Entrada na Central'!A7="","",'Entrada na Central'!D7)</f>
        <v/>
      </c>
      <c r="G8" s="20" t="str">
        <f aca="false">IF('Entrada na Central'!A7="","",'Entrada na Central'!G7)</f>
        <v/>
      </c>
      <c r="H8" s="20" t="str">
        <f aca="false">IF('Entrada na Central'!A7="","",'Entrada na Central'!E7)</f>
        <v/>
      </c>
      <c r="I8" s="20" t="str">
        <f aca="false">IF('Entrada na Central'!A7="","",'Entrada na Central'!B7&amp;" / "&amp;'Entrada na Central'!J7)</f>
        <v/>
      </c>
      <c r="J8" s="20" t="str">
        <f aca="false">IF('Entrada na Central'!A7="","",'Entrada na Central'!L7&amp;"")</f>
        <v/>
      </c>
      <c r="K8" s="20" t="str">
        <f aca="false">IF('Entrada na Central'!A7="","",'Entrada na Central'!M7&amp;"")</f>
        <v/>
      </c>
    </row>
    <row r="9" customFormat="false" ht="15" hidden="false" customHeight="false" outlineLevel="0" collapsed="false">
      <c r="A9" s="18" t="str">
        <f aca="false">IF('Entrada na Central'!A8="","",'Entrada na Central'!A8)</f>
        <v/>
      </c>
      <c r="B9" s="20" t="str">
        <f aca="false">IF('Entrada na Central'!A8="","","Entrada Central")</f>
        <v/>
      </c>
      <c r="C9" s="20" t="str">
        <f aca="false">IF('Entrada na Central'!A8="","",'Entrada na Central'!F8)</f>
        <v/>
      </c>
      <c r="D9" s="20" t="str">
        <f aca="false">IF('Entrada na Central'!A8="","","Central de Distribuição")</f>
        <v/>
      </c>
      <c r="E9" s="20" t="str">
        <f aca="false">IF('Entrada na Central'!A8="","",'Entrada na Central'!C8)</f>
        <v/>
      </c>
      <c r="F9" s="20" t="str">
        <f aca="false">IF('Entrada na Central'!A8="","",'Entrada na Central'!D8)</f>
        <v/>
      </c>
      <c r="G9" s="20" t="str">
        <f aca="false">IF('Entrada na Central'!A8="","",'Entrada na Central'!G8)</f>
        <v/>
      </c>
      <c r="H9" s="20" t="str">
        <f aca="false">IF('Entrada na Central'!A8="","",'Entrada na Central'!E8)</f>
        <v/>
      </c>
      <c r="I9" s="20" t="str">
        <f aca="false">IF('Entrada na Central'!A8="","",'Entrada na Central'!B8&amp;" / "&amp;'Entrada na Central'!J8)</f>
        <v/>
      </c>
      <c r="J9" s="20" t="str">
        <f aca="false">IF('Entrada na Central'!A8="","",'Entrada na Central'!L8&amp;"")</f>
        <v/>
      </c>
      <c r="K9" s="20" t="str">
        <f aca="false">IF('Entrada na Central'!A8="","",'Entrada na Central'!M8&amp;"")</f>
        <v/>
      </c>
    </row>
    <row r="10" customFormat="false" ht="15" hidden="false" customHeight="false" outlineLevel="0" collapsed="false">
      <c r="A10" s="18" t="str">
        <f aca="false">IF('Entrada na Central'!A9="","",'Entrada na Central'!A9)</f>
        <v/>
      </c>
      <c r="B10" s="20" t="str">
        <f aca="false">IF('Entrada na Central'!A9="","","Entrada Central")</f>
        <v/>
      </c>
      <c r="C10" s="20" t="str">
        <f aca="false">IF('Entrada na Central'!A9="","",'Entrada na Central'!F9)</f>
        <v/>
      </c>
      <c r="D10" s="20" t="str">
        <f aca="false">IF('Entrada na Central'!A9="","","Central de Distribuição")</f>
        <v/>
      </c>
      <c r="E10" s="20" t="str">
        <f aca="false">IF('Entrada na Central'!A9="","",'Entrada na Central'!C9)</f>
        <v/>
      </c>
      <c r="F10" s="20" t="str">
        <f aca="false">IF('Entrada na Central'!A9="","",'Entrada na Central'!D9)</f>
        <v/>
      </c>
      <c r="G10" s="20" t="str">
        <f aca="false">IF('Entrada na Central'!A9="","",'Entrada na Central'!G9)</f>
        <v/>
      </c>
      <c r="H10" s="20" t="str">
        <f aca="false">IF('Entrada na Central'!A9="","",'Entrada na Central'!E9)</f>
        <v/>
      </c>
      <c r="I10" s="20" t="str">
        <f aca="false">IF('Entrada na Central'!A9="","",'Entrada na Central'!B9&amp;" / "&amp;'Entrada na Central'!J9)</f>
        <v/>
      </c>
      <c r="J10" s="20" t="str">
        <f aca="false">IF('Entrada na Central'!A9="","",'Entrada na Central'!L9&amp;"")</f>
        <v/>
      </c>
      <c r="K10" s="20" t="str">
        <f aca="false">IF('Entrada na Central'!A9="","",'Entrada na Central'!M9&amp;"")</f>
        <v/>
      </c>
    </row>
    <row r="11" customFormat="false" ht="15" hidden="false" customHeight="false" outlineLevel="0" collapsed="false">
      <c r="A11" s="18" t="str">
        <f aca="false">IF('Entrada na Central'!A10="","",'Entrada na Central'!A10)</f>
        <v/>
      </c>
      <c r="B11" s="20" t="str">
        <f aca="false">IF('Entrada na Central'!A10="","","Entrada Central")</f>
        <v/>
      </c>
      <c r="C11" s="20" t="str">
        <f aca="false">IF('Entrada na Central'!A10="","",'Entrada na Central'!F10)</f>
        <v/>
      </c>
      <c r="D11" s="20" t="str">
        <f aca="false">IF('Entrada na Central'!A10="","","Central de Distribuição")</f>
        <v/>
      </c>
      <c r="E11" s="20" t="str">
        <f aca="false">IF('Entrada na Central'!A10="","",'Entrada na Central'!C10)</f>
        <v/>
      </c>
      <c r="F11" s="20" t="str">
        <f aca="false">IF('Entrada na Central'!A10="","",'Entrada na Central'!D10)</f>
        <v/>
      </c>
      <c r="G11" s="20" t="str">
        <f aca="false">IF('Entrada na Central'!A10="","",'Entrada na Central'!G10)</f>
        <v/>
      </c>
      <c r="H11" s="20" t="str">
        <f aca="false">IF('Entrada na Central'!A10="","",'Entrada na Central'!E10)</f>
        <v/>
      </c>
      <c r="I11" s="20" t="str">
        <f aca="false">IF('Entrada na Central'!A10="","",'Entrada na Central'!B10&amp;" / "&amp;'Entrada na Central'!J10)</f>
        <v/>
      </c>
      <c r="J11" s="20" t="str">
        <f aca="false">IF('Entrada na Central'!A10="","",'Entrada na Central'!L10&amp;"")</f>
        <v/>
      </c>
      <c r="K11" s="20" t="str">
        <f aca="false">IF('Entrada na Central'!A10="","",'Entrada na Central'!M10&amp;"")</f>
        <v/>
      </c>
    </row>
    <row r="12" customFormat="false" ht="15" hidden="false" customHeight="false" outlineLevel="0" collapsed="false">
      <c r="A12" s="18" t="str">
        <f aca="false">IF('Entrada na Central'!A11="","",'Entrada na Central'!A11)</f>
        <v/>
      </c>
      <c r="B12" s="20" t="str">
        <f aca="false">IF('Entrada na Central'!A11="","","Entrada Central")</f>
        <v/>
      </c>
      <c r="C12" s="20" t="str">
        <f aca="false">IF('Entrada na Central'!A11="","",'Entrada na Central'!F11)</f>
        <v/>
      </c>
      <c r="D12" s="20" t="str">
        <f aca="false">IF('Entrada na Central'!A11="","","Central de Distribuição")</f>
        <v/>
      </c>
      <c r="E12" s="20" t="str">
        <f aca="false">IF('Entrada na Central'!A11="","",'Entrada na Central'!C11)</f>
        <v/>
      </c>
      <c r="F12" s="20" t="str">
        <f aca="false">IF('Entrada na Central'!A11="","",'Entrada na Central'!D11)</f>
        <v/>
      </c>
      <c r="G12" s="20" t="str">
        <f aca="false">IF('Entrada na Central'!A11="","",'Entrada na Central'!G11)</f>
        <v/>
      </c>
      <c r="H12" s="20" t="str">
        <f aca="false">IF('Entrada na Central'!A11="","",'Entrada na Central'!E11)</f>
        <v/>
      </c>
      <c r="I12" s="20" t="str">
        <f aca="false">IF('Entrada na Central'!A11="","",'Entrada na Central'!B11&amp;" / "&amp;'Entrada na Central'!J11)</f>
        <v/>
      </c>
      <c r="J12" s="20" t="str">
        <f aca="false">IF('Entrada na Central'!A11="","",'Entrada na Central'!L11&amp;"")</f>
        <v/>
      </c>
      <c r="K12" s="20" t="str">
        <f aca="false">IF('Entrada na Central'!A11="","",'Entrada na Central'!M11&amp;"")</f>
        <v/>
      </c>
    </row>
    <row r="13" customFormat="false" ht="15" hidden="false" customHeight="false" outlineLevel="0" collapsed="false">
      <c r="A13" s="18" t="str">
        <f aca="false">IF('Entrada na Central'!A12="","",'Entrada na Central'!A12)</f>
        <v/>
      </c>
      <c r="B13" s="20" t="str">
        <f aca="false">IF('Entrada na Central'!A12="","","Entrada Central")</f>
        <v/>
      </c>
      <c r="C13" s="20" t="str">
        <f aca="false">IF('Entrada na Central'!A12="","",'Entrada na Central'!F12)</f>
        <v/>
      </c>
      <c r="D13" s="20" t="str">
        <f aca="false">IF('Entrada na Central'!A12="","","Central de Distribuição")</f>
        <v/>
      </c>
      <c r="E13" s="20" t="str">
        <f aca="false">IF('Entrada na Central'!A12="","",'Entrada na Central'!C12)</f>
        <v/>
      </c>
      <c r="F13" s="20" t="str">
        <f aca="false">IF('Entrada na Central'!A12="","",'Entrada na Central'!D12)</f>
        <v/>
      </c>
      <c r="G13" s="20" t="str">
        <f aca="false">IF('Entrada na Central'!A12="","",'Entrada na Central'!G12)</f>
        <v/>
      </c>
      <c r="H13" s="20" t="str">
        <f aca="false">IF('Entrada na Central'!A12="","",'Entrada na Central'!E12)</f>
        <v/>
      </c>
      <c r="I13" s="20" t="str">
        <f aca="false">IF('Entrada na Central'!A12="","",'Entrada na Central'!B12&amp;" / "&amp;'Entrada na Central'!J12)</f>
        <v/>
      </c>
      <c r="J13" s="20" t="str">
        <f aca="false">IF('Entrada na Central'!A12="","",'Entrada na Central'!L12&amp;"")</f>
        <v/>
      </c>
      <c r="K13" s="20" t="str">
        <f aca="false">IF('Entrada na Central'!A12="","",'Entrada na Central'!M12&amp;"")</f>
        <v/>
      </c>
    </row>
    <row r="14" customFormat="false" ht="15" hidden="false" customHeight="false" outlineLevel="0" collapsed="false">
      <c r="A14" s="18" t="str">
        <f aca="false">IF('Entrada na Central'!A13="","",'Entrada na Central'!A13)</f>
        <v/>
      </c>
      <c r="B14" s="20" t="str">
        <f aca="false">IF('Entrada na Central'!A13="","","Entrada Central")</f>
        <v/>
      </c>
      <c r="C14" s="20" t="str">
        <f aca="false">IF('Entrada na Central'!A13="","",'Entrada na Central'!F13)</f>
        <v/>
      </c>
      <c r="D14" s="20" t="str">
        <f aca="false">IF('Entrada na Central'!A13="","","Central de Distribuição")</f>
        <v/>
      </c>
      <c r="E14" s="20" t="str">
        <f aca="false">IF('Entrada na Central'!A13="","",'Entrada na Central'!C13)</f>
        <v/>
      </c>
      <c r="F14" s="20" t="str">
        <f aca="false">IF('Entrada na Central'!A13="","",'Entrada na Central'!D13)</f>
        <v/>
      </c>
      <c r="G14" s="20" t="str">
        <f aca="false">IF('Entrada na Central'!A13="","",'Entrada na Central'!G13)</f>
        <v/>
      </c>
      <c r="H14" s="20" t="str">
        <f aca="false">IF('Entrada na Central'!A13="","",'Entrada na Central'!E13)</f>
        <v/>
      </c>
      <c r="I14" s="20" t="str">
        <f aca="false">IF('Entrada na Central'!A13="","",'Entrada na Central'!B13&amp;" / "&amp;'Entrada na Central'!J13)</f>
        <v/>
      </c>
      <c r="J14" s="20" t="str">
        <f aca="false">IF('Entrada na Central'!A13="","",'Entrada na Central'!L13&amp;"")</f>
        <v/>
      </c>
      <c r="K14" s="20" t="str">
        <f aca="false">IF('Entrada na Central'!A13="","",'Entrada na Central'!M13&amp;"")</f>
        <v/>
      </c>
    </row>
    <row r="15" customFormat="false" ht="15" hidden="false" customHeight="false" outlineLevel="0" collapsed="false">
      <c r="A15" s="18" t="str">
        <f aca="false">IF('Entrada na Central'!A14="","",'Entrada na Central'!A14)</f>
        <v/>
      </c>
      <c r="B15" s="20" t="str">
        <f aca="false">IF('Entrada na Central'!A14="","","Entrada Central")</f>
        <v/>
      </c>
      <c r="C15" s="20" t="str">
        <f aca="false">IF('Entrada na Central'!A14="","",'Entrada na Central'!F14)</f>
        <v/>
      </c>
      <c r="D15" s="20" t="str">
        <f aca="false">IF('Entrada na Central'!A14="","","Central de Distribuição")</f>
        <v/>
      </c>
      <c r="E15" s="20" t="str">
        <f aca="false">IF('Entrada na Central'!A14="","",'Entrada na Central'!C14)</f>
        <v/>
      </c>
      <c r="F15" s="20" t="str">
        <f aca="false">IF('Entrada na Central'!A14="","",'Entrada na Central'!D14)</f>
        <v/>
      </c>
      <c r="G15" s="20" t="str">
        <f aca="false">IF('Entrada na Central'!A14="","",'Entrada na Central'!G14)</f>
        <v/>
      </c>
      <c r="H15" s="20" t="str">
        <f aca="false">IF('Entrada na Central'!A14="","",'Entrada na Central'!E14)</f>
        <v/>
      </c>
      <c r="I15" s="20" t="str">
        <f aca="false">IF('Entrada na Central'!A14="","",'Entrada na Central'!B14&amp;" / "&amp;'Entrada na Central'!J14)</f>
        <v/>
      </c>
      <c r="J15" s="20" t="str">
        <f aca="false">IF('Entrada na Central'!A14="","",'Entrada na Central'!L14&amp;"")</f>
        <v/>
      </c>
      <c r="K15" s="20" t="str">
        <f aca="false">IF('Entrada na Central'!A14="","",'Entrada na Central'!M14&amp;"")</f>
        <v/>
      </c>
    </row>
    <row r="16" customFormat="false" ht="15" hidden="false" customHeight="false" outlineLevel="0" collapsed="false">
      <c r="A16" s="18" t="str">
        <f aca="false">IF('Entrada na Central'!A15="","",'Entrada na Central'!A15)</f>
        <v/>
      </c>
      <c r="B16" s="20" t="str">
        <f aca="false">IF('Entrada na Central'!A15="","","Entrada Central")</f>
        <v/>
      </c>
      <c r="C16" s="20" t="str">
        <f aca="false">IF('Entrada na Central'!A15="","",'Entrada na Central'!F15)</f>
        <v/>
      </c>
      <c r="D16" s="20" t="str">
        <f aca="false">IF('Entrada na Central'!A15="","","Central de Distribuição")</f>
        <v/>
      </c>
      <c r="E16" s="20" t="str">
        <f aca="false">IF('Entrada na Central'!A15="","",'Entrada na Central'!C15)</f>
        <v/>
      </c>
      <c r="F16" s="20" t="str">
        <f aca="false">IF('Entrada na Central'!A15="","",'Entrada na Central'!D15)</f>
        <v/>
      </c>
      <c r="G16" s="20" t="str">
        <f aca="false">IF('Entrada na Central'!A15="","",'Entrada na Central'!G15)</f>
        <v/>
      </c>
      <c r="H16" s="20" t="str">
        <f aca="false">IF('Entrada na Central'!A15="","",'Entrada na Central'!E15)</f>
        <v/>
      </c>
      <c r="I16" s="20" t="str">
        <f aca="false">IF('Entrada na Central'!A15="","",'Entrada na Central'!B15&amp;" / "&amp;'Entrada na Central'!J15)</f>
        <v/>
      </c>
      <c r="J16" s="20" t="str">
        <f aca="false">IF('Entrada na Central'!A15="","",'Entrada na Central'!L15&amp;"")</f>
        <v/>
      </c>
      <c r="K16" s="20" t="str">
        <f aca="false">IF('Entrada na Central'!A15="","",'Entrada na Central'!M15&amp;"")</f>
        <v/>
      </c>
    </row>
    <row r="17" customFormat="false" ht="15" hidden="false" customHeight="false" outlineLevel="0" collapsed="false">
      <c r="A17" s="18" t="str">
        <f aca="false">IF('Entrada na Central'!A16="","",'Entrada na Central'!A16)</f>
        <v/>
      </c>
      <c r="B17" s="20" t="str">
        <f aca="false">IF('Entrada na Central'!A16="","","Entrada Central")</f>
        <v/>
      </c>
      <c r="C17" s="20" t="str">
        <f aca="false">IF('Entrada na Central'!A16="","",'Entrada na Central'!F16)</f>
        <v/>
      </c>
      <c r="D17" s="20" t="str">
        <f aca="false">IF('Entrada na Central'!A16="","","Central de Distribuição")</f>
        <v/>
      </c>
      <c r="E17" s="20" t="str">
        <f aca="false">IF('Entrada na Central'!A16="","",'Entrada na Central'!C16)</f>
        <v/>
      </c>
      <c r="F17" s="20" t="str">
        <f aca="false">IF('Entrada na Central'!A16="","",'Entrada na Central'!D16)</f>
        <v/>
      </c>
      <c r="G17" s="20" t="str">
        <f aca="false">IF('Entrada na Central'!A16="","",'Entrada na Central'!G16)</f>
        <v/>
      </c>
      <c r="H17" s="20" t="str">
        <f aca="false">IF('Entrada na Central'!A16="","",'Entrada na Central'!E16)</f>
        <v/>
      </c>
      <c r="I17" s="20" t="str">
        <f aca="false">IF('Entrada na Central'!A16="","",'Entrada na Central'!B16&amp;" / "&amp;'Entrada na Central'!J16)</f>
        <v/>
      </c>
      <c r="J17" s="20" t="str">
        <f aca="false">IF('Entrada na Central'!A16="","",'Entrada na Central'!L16&amp;"")</f>
        <v/>
      </c>
      <c r="K17" s="20" t="str">
        <f aca="false">IF('Entrada na Central'!A16="","",'Entrada na Central'!M16&amp;"")</f>
        <v/>
      </c>
    </row>
    <row r="18" customFormat="false" ht="15" hidden="false" customHeight="false" outlineLevel="0" collapsed="false">
      <c r="A18" s="18" t="str">
        <f aca="false">IF('Entrada na Central'!A17="","",'Entrada na Central'!A17)</f>
        <v/>
      </c>
      <c r="B18" s="20" t="str">
        <f aca="false">IF('Entrada na Central'!A17="","","Entrada Central")</f>
        <v/>
      </c>
      <c r="C18" s="20" t="str">
        <f aca="false">IF('Entrada na Central'!A17="","",'Entrada na Central'!F17)</f>
        <v/>
      </c>
      <c r="D18" s="20" t="str">
        <f aca="false">IF('Entrada na Central'!A17="","","Central de Distribuição")</f>
        <v/>
      </c>
      <c r="E18" s="20" t="str">
        <f aca="false">IF('Entrada na Central'!A17="","",'Entrada na Central'!C17)</f>
        <v/>
      </c>
      <c r="F18" s="20" t="str">
        <f aca="false">IF('Entrada na Central'!A17="","",'Entrada na Central'!D17)</f>
        <v/>
      </c>
      <c r="G18" s="20" t="str">
        <f aca="false">IF('Entrada na Central'!A17="","",'Entrada na Central'!G17)</f>
        <v/>
      </c>
      <c r="H18" s="20" t="str">
        <f aca="false">IF('Entrada na Central'!A17="","",'Entrada na Central'!E17)</f>
        <v/>
      </c>
      <c r="I18" s="20" t="str">
        <f aca="false">IF('Entrada na Central'!A17="","",'Entrada na Central'!B17&amp;" / "&amp;'Entrada na Central'!J17)</f>
        <v/>
      </c>
      <c r="J18" s="20" t="str">
        <f aca="false">IF('Entrada na Central'!A17="","",'Entrada na Central'!L17&amp;"")</f>
        <v/>
      </c>
      <c r="K18" s="20" t="str">
        <f aca="false">IF('Entrada na Central'!A17="","",'Entrada na Central'!M17&amp;"")</f>
        <v/>
      </c>
    </row>
    <row r="19" customFormat="false" ht="15" hidden="false" customHeight="false" outlineLevel="0" collapsed="false">
      <c r="A19" s="18" t="str">
        <f aca="false">IF('Entrada na Central'!A18="","",'Entrada na Central'!A18)</f>
        <v/>
      </c>
      <c r="B19" s="20" t="str">
        <f aca="false">IF('Entrada na Central'!A18="","","Entrada Central")</f>
        <v/>
      </c>
      <c r="C19" s="20" t="str">
        <f aca="false">IF('Entrada na Central'!A18="","",'Entrada na Central'!F18)</f>
        <v/>
      </c>
      <c r="D19" s="20" t="str">
        <f aca="false">IF('Entrada na Central'!A18="","","Central de Distribuição")</f>
        <v/>
      </c>
      <c r="E19" s="20" t="str">
        <f aca="false">IF('Entrada na Central'!A18="","",'Entrada na Central'!C18)</f>
        <v/>
      </c>
      <c r="F19" s="20" t="str">
        <f aca="false">IF('Entrada na Central'!A18="","",'Entrada na Central'!D18)</f>
        <v/>
      </c>
      <c r="G19" s="20" t="str">
        <f aca="false">IF('Entrada na Central'!A18="","",'Entrada na Central'!G18)</f>
        <v/>
      </c>
      <c r="H19" s="20" t="str">
        <f aca="false">IF('Entrada na Central'!A18="","",'Entrada na Central'!E18)</f>
        <v/>
      </c>
      <c r="I19" s="20" t="str">
        <f aca="false">IF('Entrada na Central'!A18="","",'Entrada na Central'!B18&amp;" / "&amp;'Entrada na Central'!J18)</f>
        <v/>
      </c>
      <c r="J19" s="20" t="str">
        <f aca="false">IF('Entrada na Central'!A18="","",'Entrada na Central'!L18&amp;"")</f>
        <v/>
      </c>
      <c r="K19" s="20" t="str">
        <f aca="false">IF('Entrada na Central'!A18="","",'Entrada na Central'!M18&amp;"")</f>
        <v/>
      </c>
    </row>
    <row r="20" customFormat="false" ht="15" hidden="false" customHeight="false" outlineLevel="0" collapsed="false">
      <c r="A20" s="18" t="str">
        <f aca="false">IF('Entrada na Central'!A19="","",'Entrada na Central'!A19)</f>
        <v/>
      </c>
      <c r="B20" s="20" t="str">
        <f aca="false">IF('Entrada na Central'!A19="","","Entrada Central")</f>
        <v/>
      </c>
      <c r="C20" s="20" t="str">
        <f aca="false">IF('Entrada na Central'!A19="","",'Entrada na Central'!F19)</f>
        <v/>
      </c>
      <c r="D20" s="20" t="str">
        <f aca="false">IF('Entrada na Central'!A19="","","Central de Distribuição")</f>
        <v/>
      </c>
      <c r="E20" s="20" t="str">
        <f aca="false">IF('Entrada na Central'!A19="","",'Entrada na Central'!C19)</f>
        <v/>
      </c>
      <c r="F20" s="20" t="str">
        <f aca="false">IF('Entrada na Central'!A19="","",'Entrada na Central'!D19)</f>
        <v/>
      </c>
      <c r="G20" s="20" t="str">
        <f aca="false">IF('Entrada na Central'!A19="","",'Entrada na Central'!G19)</f>
        <v/>
      </c>
      <c r="H20" s="20" t="str">
        <f aca="false">IF('Entrada na Central'!A19="","",'Entrada na Central'!E19)</f>
        <v/>
      </c>
      <c r="I20" s="20" t="str">
        <f aca="false">IF('Entrada na Central'!A19="","",'Entrada na Central'!B19&amp;" / "&amp;'Entrada na Central'!J19)</f>
        <v/>
      </c>
      <c r="J20" s="20" t="str">
        <f aca="false">IF('Entrada na Central'!A19="","",'Entrada na Central'!L19&amp;"")</f>
        <v/>
      </c>
      <c r="K20" s="20" t="str">
        <f aca="false">IF('Entrada na Central'!A19="","",'Entrada na Central'!M19&amp;"")</f>
        <v/>
      </c>
    </row>
    <row r="21" customFormat="false" ht="15" hidden="false" customHeight="false" outlineLevel="0" collapsed="false">
      <c r="A21" s="18" t="str">
        <f aca="false">IF('Entrada na Central'!A20="","",'Entrada na Central'!A20)</f>
        <v/>
      </c>
      <c r="B21" s="20" t="str">
        <f aca="false">IF('Entrada na Central'!A20="","","Entrada Central")</f>
        <v/>
      </c>
      <c r="C21" s="20" t="str">
        <f aca="false">IF('Entrada na Central'!A20="","",'Entrada na Central'!F20)</f>
        <v/>
      </c>
      <c r="D21" s="20" t="str">
        <f aca="false">IF('Entrada na Central'!A20="","","Central de Distribuição")</f>
        <v/>
      </c>
      <c r="E21" s="20" t="str">
        <f aca="false">IF('Entrada na Central'!A20="","",'Entrada na Central'!C20)</f>
        <v/>
      </c>
      <c r="F21" s="20" t="str">
        <f aca="false">IF('Entrada na Central'!A20="","",'Entrada na Central'!D20)</f>
        <v/>
      </c>
      <c r="G21" s="20" t="str">
        <f aca="false">IF('Entrada na Central'!A20="","",'Entrada na Central'!G20)</f>
        <v/>
      </c>
      <c r="H21" s="20" t="str">
        <f aca="false">IF('Entrada na Central'!A20="","",'Entrada na Central'!E20)</f>
        <v/>
      </c>
      <c r="I21" s="20" t="str">
        <f aca="false">IF('Entrada na Central'!A20="","",'Entrada na Central'!B20&amp;" / "&amp;'Entrada na Central'!J20)</f>
        <v/>
      </c>
      <c r="J21" s="20" t="str">
        <f aca="false">IF('Entrada na Central'!A20="","",'Entrada na Central'!L20&amp;"")</f>
        <v/>
      </c>
      <c r="K21" s="20" t="str">
        <f aca="false">IF('Entrada na Central'!A20="","",'Entrada na Central'!M20&amp;"")</f>
        <v/>
      </c>
    </row>
    <row r="22" customFormat="false" ht="15" hidden="false" customHeight="false" outlineLevel="0" collapsed="false">
      <c r="A22" s="18" t="str">
        <f aca="false">IF('Entrada na Central'!A21="","",'Entrada na Central'!A21)</f>
        <v/>
      </c>
      <c r="B22" s="20" t="str">
        <f aca="false">IF('Entrada na Central'!A21="","","Entrada Central")</f>
        <v/>
      </c>
      <c r="C22" s="20" t="str">
        <f aca="false">IF('Entrada na Central'!A21="","",'Entrada na Central'!F21)</f>
        <v/>
      </c>
      <c r="D22" s="20" t="str">
        <f aca="false">IF('Entrada na Central'!A21="","","Central de Distribuição")</f>
        <v/>
      </c>
      <c r="E22" s="20" t="str">
        <f aca="false">IF('Entrada na Central'!A21="","",'Entrada na Central'!C21)</f>
        <v/>
      </c>
      <c r="F22" s="20" t="str">
        <f aca="false">IF('Entrada na Central'!A21="","",'Entrada na Central'!D21)</f>
        <v/>
      </c>
      <c r="G22" s="20" t="str">
        <f aca="false">IF('Entrada na Central'!A21="","",'Entrada na Central'!G21)</f>
        <v/>
      </c>
      <c r="H22" s="20" t="str">
        <f aca="false">IF('Entrada na Central'!A21="","",'Entrada na Central'!E21)</f>
        <v/>
      </c>
      <c r="I22" s="20" t="str">
        <f aca="false">IF('Entrada na Central'!A21="","",'Entrada na Central'!B21&amp;" / "&amp;'Entrada na Central'!J21)</f>
        <v/>
      </c>
      <c r="J22" s="20" t="str">
        <f aca="false">IF('Entrada na Central'!A21="","",'Entrada na Central'!L21&amp;"")</f>
        <v/>
      </c>
      <c r="K22" s="20" t="str">
        <f aca="false">IF('Entrada na Central'!A21="","",'Entrada na Central'!M21&amp;"")</f>
        <v/>
      </c>
    </row>
    <row r="23" customFormat="false" ht="15" hidden="false" customHeight="false" outlineLevel="0" collapsed="false">
      <c r="A23" s="18" t="str">
        <f aca="false">IF('Entrada na Central'!A22="","",'Entrada na Central'!A22)</f>
        <v/>
      </c>
      <c r="B23" s="20" t="str">
        <f aca="false">IF('Entrada na Central'!A22="","","Entrada Central")</f>
        <v/>
      </c>
      <c r="C23" s="20" t="str">
        <f aca="false">IF('Entrada na Central'!A22="","",'Entrada na Central'!F22)</f>
        <v/>
      </c>
      <c r="D23" s="20" t="str">
        <f aca="false">IF('Entrada na Central'!A22="","","Central de Distribuição")</f>
        <v/>
      </c>
      <c r="E23" s="20" t="str">
        <f aca="false">IF('Entrada na Central'!A22="","",'Entrada na Central'!C22)</f>
        <v/>
      </c>
      <c r="F23" s="20" t="str">
        <f aca="false">IF('Entrada na Central'!A22="","",'Entrada na Central'!D22)</f>
        <v/>
      </c>
      <c r="G23" s="20" t="str">
        <f aca="false">IF('Entrada na Central'!A22="","",'Entrada na Central'!G22)</f>
        <v/>
      </c>
      <c r="H23" s="20" t="str">
        <f aca="false">IF('Entrada na Central'!A22="","",'Entrada na Central'!E22)</f>
        <v/>
      </c>
      <c r="I23" s="20" t="str">
        <f aca="false">IF('Entrada na Central'!A22="","",'Entrada na Central'!B22&amp;" / "&amp;'Entrada na Central'!J22)</f>
        <v/>
      </c>
      <c r="J23" s="20" t="str">
        <f aca="false">IF('Entrada na Central'!A22="","",'Entrada na Central'!L22&amp;"")</f>
        <v/>
      </c>
      <c r="K23" s="20" t="str">
        <f aca="false">IF('Entrada na Central'!A22="","",'Entrada na Central'!M22&amp;"")</f>
        <v/>
      </c>
    </row>
    <row r="24" customFormat="false" ht="15" hidden="false" customHeight="false" outlineLevel="0" collapsed="false">
      <c r="A24" s="18" t="str">
        <f aca="false">IF('Entrada na Central'!A23="","",'Entrada na Central'!A23)</f>
        <v/>
      </c>
      <c r="B24" s="20" t="str">
        <f aca="false">IF('Entrada na Central'!A23="","","Entrada Central")</f>
        <v/>
      </c>
      <c r="C24" s="20" t="str">
        <f aca="false">IF('Entrada na Central'!A23="","",'Entrada na Central'!F23)</f>
        <v/>
      </c>
      <c r="D24" s="20" t="str">
        <f aca="false">IF('Entrada na Central'!A23="","","Central de Distribuição")</f>
        <v/>
      </c>
      <c r="E24" s="20" t="str">
        <f aca="false">IF('Entrada na Central'!A23="","",'Entrada na Central'!C23)</f>
        <v/>
      </c>
      <c r="F24" s="20" t="str">
        <f aca="false">IF('Entrada na Central'!A23="","",'Entrada na Central'!D23)</f>
        <v/>
      </c>
      <c r="G24" s="20" t="str">
        <f aca="false">IF('Entrada na Central'!A23="","",'Entrada na Central'!G23)</f>
        <v/>
      </c>
      <c r="H24" s="20" t="str">
        <f aca="false">IF('Entrada na Central'!A23="","",'Entrada na Central'!E23)</f>
        <v/>
      </c>
      <c r="I24" s="20" t="str">
        <f aca="false">IF('Entrada na Central'!A23="","",'Entrada na Central'!B23&amp;" / "&amp;'Entrada na Central'!J23)</f>
        <v/>
      </c>
      <c r="J24" s="20" t="str">
        <f aca="false">IF('Entrada na Central'!A23="","",'Entrada na Central'!L23&amp;"")</f>
        <v/>
      </c>
      <c r="K24" s="20" t="str">
        <f aca="false">IF('Entrada na Central'!A23="","",'Entrada na Central'!M23&amp;"")</f>
        <v/>
      </c>
    </row>
    <row r="25" customFormat="false" ht="15" hidden="false" customHeight="false" outlineLevel="0" collapsed="false">
      <c r="A25" s="18" t="str">
        <f aca="false">IF('Entrada na Central'!A24="","",'Entrada na Central'!A24)</f>
        <v/>
      </c>
      <c r="B25" s="20" t="str">
        <f aca="false">IF('Entrada na Central'!A24="","","Entrada Central")</f>
        <v/>
      </c>
      <c r="C25" s="20" t="str">
        <f aca="false">IF('Entrada na Central'!A24="","",'Entrada na Central'!F24)</f>
        <v/>
      </c>
      <c r="D25" s="20" t="str">
        <f aca="false">IF('Entrada na Central'!A24="","","Central de Distribuição")</f>
        <v/>
      </c>
      <c r="E25" s="20" t="str">
        <f aca="false">IF('Entrada na Central'!A24="","",'Entrada na Central'!C24)</f>
        <v/>
      </c>
      <c r="F25" s="20" t="str">
        <f aca="false">IF('Entrada na Central'!A24="","",'Entrada na Central'!D24)</f>
        <v/>
      </c>
      <c r="G25" s="20" t="str">
        <f aca="false">IF('Entrada na Central'!A24="","",'Entrada na Central'!G24)</f>
        <v/>
      </c>
      <c r="H25" s="20" t="str">
        <f aca="false">IF('Entrada na Central'!A24="","",'Entrada na Central'!E24)</f>
        <v/>
      </c>
      <c r="I25" s="20" t="str">
        <f aca="false">IF('Entrada na Central'!A24="","",'Entrada na Central'!B24&amp;" / "&amp;'Entrada na Central'!J24)</f>
        <v/>
      </c>
      <c r="J25" s="20" t="str">
        <f aca="false">IF('Entrada na Central'!A24="","",'Entrada na Central'!L24&amp;"")</f>
        <v/>
      </c>
      <c r="K25" s="20" t="str">
        <f aca="false">IF('Entrada na Central'!A24="","",'Entrada na Central'!M24&amp;"")</f>
        <v/>
      </c>
    </row>
    <row r="26" customFormat="false" ht="15" hidden="false" customHeight="false" outlineLevel="0" collapsed="false">
      <c r="A26" s="18" t="str">
        <f aca="false">IF('Entrada na Central'!A25="","",'Entrada na Central'!A25)</f>
        <v/>
      </c>
      <c r="B26" s="20" t="str">
        <f aca="false">IF('Entrada na Central'!A25="","","Entrada Central")</f>
        <v/>
      </c>
      <c r="C26" s="20" t="str">
        <f aca="false">IF('Entrada na Central'!A25="","",'Entrada na Central'!F25)</f>
        <v/>
      </c>
      <c r="D26" s="20" t="str">
        <f aca="false">IF('Entrada na Central'!A25="","","Central de Distribuição")</f>
        <v/>
      </c>
      <c r="E26" s="20" t="str">
        <f aca="false">IF('Entrada na Central'!A25="","",'Entrada na Central'!C25)</f>
        <v/>
      </c>
      <c r="F26" s="20" t="str">
        <f aca="false">IF('Entrada na Central'!A25="","",'Entrada na Central'!D25)</f>
        <v/>
      </c>
      <c r="G26" s="20" t="str">
        <f aca="false">IF('Entrada na Central'!A25="","",'Entrada na Central'!G25)</f>
        <v/>
      </c>
      <c r="H26" s="20" t="str">
        <f aca="false">IF('Entrada na Central'!A25="","",'Entrada na Central'!E25)</f>
        <v/>
      </c>
      <c r="I26" s="20" t="str">
        <f aca="false">IF('Entrada na Central'!A25="","",'Entrada na Central'!B25&amp;" / "&amp;'Entrada na Central'!J25)</f>
        <v/>
      </c>
      <c r="J26" s="20" t="str">
        <f aca="false">IF('Entrada na Central'!A25="","",'Entrada na Central'!L25&amp;"")</f>
        <v/>
      </c>
      <c r="K26" s="20" t="str">
        <f aca="false">IF('Entrada na Central'!A25="","",'Entrada na Central'!M25&amp;"")</f>
        <v/>
      </c>
    </row>
    <row r="27" customFormat="false" ht="15" hidden="false" customHeight="false" outlineLevel="0" collapsed="false">
      <c r="A27" s="18" t="str">
        <f aca="false">IF('Entrada na Central'!A26="","",'Entrada na Central'!A26)</f>
        <v/>
      </c>
      <c r="B27" s="20" t="str">
        <f aca="false">IF('Entrada na Central'!A26="","","Entrada Central")</f>
        <v/>
      </c>
      <c r="C27" s="20" t="str">
        <f aca="false">IF('Entrada na Central'!A26="","",'Entrada na Central'!F26)</f>
        <v/>
      </c>
      <c r="D27" s="20" t="str">
        <f aca="false">IF('Entrada na Central'!A26="","","Central de Distribuição")</f>
        <v/>
      </c>
      <c r="E27" s="20" t="str">
        <f aca="false">IF('Entrada na Central'!A26="","",'Entrada na Central'!C26)</f>
        <v/>
      </c>
      <c r="F27" s="20" t="str">
        <f aca="false">IF('Entrada na Central'!A26="","",'Entrada na Central'!D26)</f>
        <v/>
      </c>
      <c r="G27" s="20" t="str">
        <f aca="false">IF('Entrada na Central'!A26="","",'Entrada na Central'!G26)</f>
        <v/>
      </c>
      <c r="H27" s="20" t="str">
        <f aca="false">IF('Entrada na Central'!A26="","",'Entrada na Central'!E26)</f>
        <v/>
      </c>
      <c r="I27" s="20" t="str">
        <f aca="false">IF('Entrada na Central'!A26="","",'Entrada na Central'!B26&amp;" / "&amp;'Entrada na Central'!J26)</f>
        <v/>
      </c>
      <c r="J27" s="20" t="str">
        <f aca="false">IF('Entrada na Central'!A26="","",'Entrada na Central'!L26&amp;"")</f>
        <v/>
      </c>
      <c r="K27" s="20" t="str">
        <f aca="false">IF('Entrada na Central'!A26="","",'Entrada na Central'!M26&amp;"")</f>
        <v/>
      </c>
    </row>
    <row r="28" customFormat="false" ht="15" hidden="false" customHeight="false" outlineLevel="0" collapsed="false">
      <c r="A28" s="18" t="str">
        <f aca="false">IF('Entrada na Central'!A27="","",'Entrada na Central'!A27)</f>
        <v/>
      </c>
      <c r="B28" s="20" t="str">
        <f aca="false">IF('Entrada na Central'!A27="","","Entrada Central")</f>
        <v/>
      </c>
      <c r="C28" s="20" t="str">
        <f aca="false">IF('Entrada na Central'!A27="","",'Entrada na Central'!F27)</f>
        <v/>
      </c>
      <c r="D28" s="20" t="str">
        <f aca="false">IF('Entrada na Central'!A27="","","Central de Distribuição")</f>
        <v/>
      </c>
      <c r="E28" s="20" t="str">
        <f aca="false">IF('Entrada na Central'!A27="","",'Entrada na Central'!C27)</f>
        <v/>
      </c>
      <c r="F28" s="20" t="str">
        <f aca="false">IF('Entrada na Central'!A27="","",'Entrada na Central'!D27)</f>
        <v/>
      </c>
      <c r="G28" s="20" t="str">
        <f aca="false">IF('Entrada na Central'!A27="","",'Entrada na Central'!G27)</f>
        <v/>
      </c>
      <c r="H28" s="20" t="str">
        <f aca="false">IF('Entrada na Central'!A27="","",'Entrada na Central'!E27)</f>
        <v/>
      </c>
      <c r="I28" s="20" t="str">
        <f aca="false">IF('Entrada na Central'!A27="","",'Entrada na Central'!B27&amp;" / "&amp;'Entrada na Central'!J27)</f>
        <v/>
      </c>
      <c r="J28" s="20" t="str">
        <f aca="false">IF('Entrada na Central'!A27="","",'Entrada na Central'!L27&amp;"")</f>
        <v/>
      </c>
      <c r="K28" s="20" t="str">
        <f aca="false">IF('Entrada na Central'!A27="","",'Entrada na Central'!M27&amp;"")</f>
        <v/>
      </c>
    </row>
    <row r="29" customFormat="false" ht="15" hidden="false" customHeight="false" outlineLevel="0" collapsed="false">
      <c r="A29" s="18" t="str">
        <f aca="false">IF('Entrada na Central'!A28="","",'Entrada na Central'!A28)</f>
        <v/>
      </c>
      <c r="B29" s="20" t="str">
        <f aca="false">IF('Entrada na Central'!A28="","","Entrada Central")</f>
        <v/>
      </c>
      <c r="C29" s="20" t="str">
        <f aca="false">IF('Entrada na Central'!A28="","",'Entrada na Central'!F28)</f>
        <v/>
      </c>
      <c r="D29" s="20" t="str">
        <f aca="false">IF('Entrada na Central'!A28="","","Central de Distribuição")</f>
        <v/>
      </c>
      <c r="E29" s="20" t="str">
        <f aca="false">IF('Entrada na Central'!A28="","",'Entrada na Central'!C28)</f>
        <v/>
      </c>
      <c r="F29" s="20" t="str">
        <f aca="false">IF('Entrada na Central'!A28="","",'Entrada na Central'!D28)</f>
        <v/>
      </c>
      <c r="G29" s="20" t="str">
        <f aca="false">IF('Entrada na Central'!A28="","",'Entrada na Central'!G28)</f>
        <v/>
      </c>
      <c r="H29" s="20" t="str">
        <f aca="false">IF('Entrada na Central'!A28="","",'Entrada na Central'!E28)</f>
        <v/>
      </c>
      <c r="I29" s="20" t="str">
        <f aca="false">IF('Entrada na Central'!A28="","",'Entrada na Central'!B28&amp;" / "&amp;'Entrada na Central'!J28)</f>
        <v/>
      </c>
      <c r="J29" s="20" t="str">
        <f aca="false">IF('Entrada na Central'!A28="","",'Entrada na Central'!L28&amp;"")</f>
        <v/>
      </c>
      <c r="K29" s="20" t="str">
        <f aca="false">IF('Entrada na Central'!A28="","",'Entrada na Central'!M28&amp;"")</f>
        <v/>
      </c>
    </row>
    <row r="30" customFormat="false" ht="15" hidden="false" customHeight="false" outlineLevel="0" collapsed="false">
      <c r="A30" s="18" t="str">
        <f aca="false">IF('Entrada na Central'!A29="","",'Entrada na Central'!A29)</f>
        <v/>
      </c>
      <c r="B30" s="20" t="str">
        <f aca="false">IF('Entrada na Central'!A29="","","Entrada Central")</f>
        <v/>
      </c>
      <c r="C30" s="20" t="str">
        <f aca="false">IF('Entrada na Central'!A29="","",'Entrada na Central'!F29)</f>
        <v/>
      </c>
      <c r="D30" s="20" t="str">
        <f aca="false">IF('Entrada na Central'!A29="","","Central de Distribuição")</f>
        <v/>
      </c>
      <c r="E30" s="20" t="str">
        <f aca="false">IF('Entrada na Central'!A29="","",'Entrada na Central'!C29)</f>
        <v/>
      </c>
      <c r="F30" s="20" t="str">
        <f aca="false">IF('Entrada na Central'!A29="","",'Entrada na Central'!D29)</f>
        <v/>
      </c>
      <c r="G30" s="20" t="str">
        <f aca="false">IF('Entrada na Central'!A29="","",'Entrada na Central'!G29)</f>
        <v/>
      </c>
      <c r="H30" s="20" t="str">
        <f aca="false">IF('Entrada na Central'!A29="","",'Entrada na Central'!E29)</f>
        <v/>
      </c>
      <c r="I30" s="20" t="str">
        <f aca="false">IF('Entrada na Central'!A29="","",'Entrada na Central'!B29&amp;" / "&amp;'Entrada na Central'!J29)</f>
        <v/>
      </c>
      <c r="J30" s="20" t="str">
        <f aca="false">IF('Entrada na Central'!A29="","",'Entrada na Central'!L29&amp;"")</f>
        <v/>
      </c>
      <c r="K30" s="20" t="str">
        <f aca="false">IF('Entrada na Central'!A29="","",'Entrada na Central'!M29&amp;"")</f>
        <v/>
      </c>
    </row>
    <row r="31" customFormat="false" ht="15" hidden="false" customHeight="false" outlineLevel="0" collapsed="false">
      <c r="A31" s="18" t="str">
        <f aca="false">IF('Entrada na Central'!A30="","",'Entrada na Central'!A30)</f>
        <v/>
      </c>
      <c r="B31" s="20" t="str">
        <f aca="false">IF('Entrada na Central'!A30="","","Entrada Central")</f>
        <v/>
      </c>
      <c r="C31" s="20" t="str">
        <f aca="false">IF('Entrada na Central'!A30="","",'Entrada na Central'!F30)</f>
        <v/>
      </c>
      <c r="D31" s="20" t="str">
        <f aca="false">IF('Entrada na Central'!A30="","","Central de Distribuição")</f>
        <v/>
      </c>
      <c r="E31" s="20" t="str">
        <f aca="false">IF('Entrada na Central'!A30="","",'Entrada na Central'!C30)</f>
        <v/>
      </c>
      <c r="F31" s="20" t="str">
        <f aca="false">IF('Entrada na Central'!A30="","",'Entrada na Central'!D30)</f>
        <v/>
      </c>
      <c r="G31" s="20" t="str">
        <f aca="false">IF('Entrada na Central'!A30="","",'Entrada na Central'!G30)</f>
        <v/>
      </c>
      <c r="H31" s="20" t="str">
        <f aca="false">IF('Entrada na Central'!A30="","",'Entrada na Central'!E30)</f>
        <v/>
      </c>
      <c r="I31" s="20" t="str">
        <f aca="false">IF('Entrada na Central'!A30="","",'Entrada na Central'!B30&amp;" / "&amp;'Entrada na Central'!J30)</f>
        <v/>
      </c>
      <c r="J31" s="20" t="str">
        <f aca="false">IF('Entrada na Central'!A30="","",'Entrada na Central'!L30&amp;"")</f>
        <v/>
      </c>
      <c r="K31" s="20" t="str">
        <f aca="false">IF('Entrada na Central'!A30="","",'Entrada na Central'!M30&amp;"")</f>
        <v/>
      </c>
    </row>
    <row r="32" customFormat="false" ht="15" hidden="false" customHeight="false" outlineLevel="0" collapsed="false">
      <c r="A32" s="18" t="str">
        <f aca="false">IF('Entrada na Central'!A31="","",'Entrada na Central'!A31)</f>
        <v/>
      </c>
      <c r="B32" s="20" t="str">
        <f aca="false">IF('Entrada na Central'!A31="","","Entrada Central")</f>
        <v/>
      </c>
      <c r="C32" s="20" t="str">
        <f aca="false">IF('Entrada na Central'!A31="","",'Entrada na Central'!F31)</f>
        <v/>
      </c>
      <c r="D32" s="20" t="str">
        <f aca="false">IF('Entrada na Central'!A31="","","Central de Distribuição")</f>
        <v/>
      </c>
      <c r="E32" s="20" t="str">
        <f aca="false">IF('Entrada na Central'!A31="","",'Entrada na Central'!C31)</f>
        <v/>
      </c>
      <c r="F32" s="20" t="str">
        <f aca="false">IF('Entrada na Central'!A31="","",'Entrada na Central'!D31)</f>
        <v/>
      </c>
      <c r="G32" s="20" t="str">
        <f aca="false">IF('Entrada na Central'!A31="","",'Entrada na Central'!G31)</f>
        <v/>
      </c>
      <c r="H32" s="20" t="str">
        <f aca="false">IF('Entrada na Central'!A31="","",'Entrada na Central'!E31)</f>
        <v/>
      </c>
      <c r="I32" s="20" t="str">
        <f aca="false">IF('Entrada na Central'!A31="","",'Entrada na Central'!B31&amp;" / "&amp;'Entrada na Central'!J31)</f>
        <v/>
      </c>
      <c r="J32" s="20" t="str">
        <f aca="false">IF('Entrada na Central'!A31="","",'Entrada na Central'!L31&amp;"")</f>
        <v/>
      </c>
      <c r="K32" s="20" t="str">
        <f aca="false">IF('Entrada na Central'!A31="","",'Entrada na Central'!M31&amp;"")</f>
        <v/>
      </c>
    </row>
    <row r="33" customFormat="false" ht="15" hidden="false" customHeight="false" outlineLevel="0" collapsed="false">
      <c r="A33" s="19" t="s">
        <v>194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customFormat="false" ht="15" hidden="false" customHeight="false" outlineLevel="0" collapsed="false">
      <c r="A34" s="18" t="n">
        <f aca="false">IF('Saída da Central'!A2="","",'Saída da Central'!A2)</f>
        <v>46207</v>
      </c>
      <c r="B34" s="20" t="str">
        <f aca="false">IF('Saída da Central'!A2="","","Saída Central")</f>
        <v>Saída Central</v>
      </c>
      <c r="C34" s="20" t="str">
        <f aca="false">IF('Saída da Central'!A2="","","Central de Distribuição")</f>
        <v>Central de Distribuição</v>
      </c>
      <c r="D34" s="20" t="str">
        <f aca="false">IF('Saída da Central'!A2="","",'Saída da Central'!F2)</f>
        <v>Cozinha de Produção de Fracionados</v>
      </c>
      <c r="E34" s="20" t="str">
        <f aca="false">IF('Saída da Central'!A2="","",'Saída da Central'!C2)</f>
        <v>BR-001</v>
      </c>
      <c r="F34" s="20" t="str">
        <f aca="false">IF('Saída da Central'!A2="","",'Saída da Central'!D2)</f>
        <v>Salmão Fresco</v>
      </c>
      <c r="G34" s="16" t="n">
        <f aca="false">IF('Saída da Central'!A2="","",'Saída da Central'!G2)</f>
        <v>25</v>
      </c>
      <c r="H34" s="20" t="str">
        <f aca="false">IF('Saída da Central'!A2="","",'Saída da Central'!E2)</f>
        <v>KG</v>
      </c>
      <c r="I34" s="20" t="str">
        <f aca="false">IF('Saída da Central'!A2="","",'Saída da Central'!B2)</f>
        <v>SC-001</v>
      </c>
      <c r="J34" s="20" t="str">
        <f aca="false">IF('Saída da Central'!A2="","",'Saída da Central'!I2&amp;"")</f>
        <v>Igor Morgado</v>
      </c>
      <c r="K34" s="20" t="str">
        <f aca="false">IF('Saída da Central'!A2="","",'Saída da Central'!J2&amp;"")</f>
        <v/>
      </c>
    </row>
    <row r="35" customFormat="false" ht="15" hidden="false" customHeight="false" outlineLevel="0" collapsed="false">
      <c r="A35" s="18" t="n">
        <f aca="false">IF('Saída da Central'!A3="","",'Saída da Central'!A3)</f>
        <v>46207</v>
      </c>
      <c r="B35" s="20" t="str">
        <f aca="false">IF('Saída da Central'!A3="","","Saída Central")</f>
        <v>Saída Central</v>
      </c>
      <c r="C35" s="20" t="str">
        <f aca="false">IF('Saída da Central'!A3="","","Central de Distribuição")</f>
        <v>Central de Distribuição</v>
      </c>
      <c r="D35" s="20" t="str">
        <f aca="false">IF('Saída da Central'!A3="","",'Saída da Central'!F3)</f>
        <v>Cozinha de Produção de Fracionados</v>
      </c>
      <c r="E35" s="20" t="str">
        <f aca="false">IF('Saída da Central'!A3="","",'Saída da Central'!C3)</f>
        <v>BR-002</v>
      </c>
      <c r="F35" s="20" t="str">
        <f aca="false">IF('Saída da Central'!A3="","",'Saída da Central'!D3)</f>
        <v>Arroz Japonês</v>
      </c>
      <c r="G35" s="16" t="n">
        <f aca="false">IF('Saída da Central'!A3="","",'Saída da Central'!G3)</f>
        <v>20</v>
      </c>
      <c r="H35" s="20" t="str">
        <f aca="false">IF('Saída da Central'!A3="","",'Saída da Central'!E3)</f>
        <v>KG</v>
      </c>
      <c r="I35" s="20" t="str">
        <f aca="false">IF('Saída da Central'!A3="","",'Saída da Central'!B3)</f>
        <v>SC-002</v>
      </c>
      <c r="J35" s="20" t="str">
        <f aca="false">IF('Saída da Central'!A3="","",'Saída da Central'!I3&amp;"")</f>
        <v>Igor Morgado</v>
      </c>
      <c r="K35" s="20" t="str">
        <f aca="false">IF('Saída da Central'!A3="","",'Saída da Central'!J3&amp;"")</f>
        <v/>
      </c>
    </row>
    <row r="36" customFormat="false" ht="15" hidden="false" customHeight="false" outlineLevel="0" collapsed="false">
      <c r="A36" s="18" t="n">
        <f aca="false">IF('Saída da Central'!A4="","",'Saída da Central'!A4)</f>
        <v>46208</v>
      </c>
      <c r="B36" s="20" t="str">
        <f aca="false">IF('Saída da Central'!A4="","","Saída Central")</f>
        <v>Saída Central</v>
      </c>
      <c r="C36" s="20" t="str">
        <f aca="false">IF('Saída da Central'!A4="","","Central de Distribuição")</f>
        <v>Central de Distribuição</v>
      </c>
      <c r="D36" s="20" t="str">
        <f aca="false">IF('Saída da Central'!A4="","",'Saída da Central'!F4)</f>
        <v>Restaurante Arboreto</v>
      </c>
      <c r="E36" s="20" t="str">
        <f aca="false">IF('Saída da Central'!A4="","",'Saída da Central'!C4)</f>
        <v>BR-004</v>
      </c>
      <c r="F36" s="20" t="str">
        <f aca="false">IF('Saída da Central'!A4="","",'Saída da Central'!D4)</f>
        <v>Filé de Frango</v>
      </c>
      <c r="G36" s="16" t="n">
        <f aca="false">IF('Saída da Central'!A4="","",'Saída da Central'!G4)</f>
        <v>15</v>
      </c>
      <c r="H36" s="20" t="str">
        <f aca="false">IF('Saída da Central'!A4="","",'Saída da Central'!E4)</f>
        <v>KG</v>
      </c>
      <c r="I36" s="20" t="str">
        <f aca="false">IF('Saída da Central'!A4="","",'Saída da Central'!B4)</f>
        <v>SC-003</v>
      </c>
      <c r="J36" s="20" t="str">
        <f aca="false">IF('Saída da Central'!A4="","",'Saída da Central'!I4&amp;"")</f>
        <v>Igor Morgado</v>
      </c>
      <c r="K36" s="20" t="str">
        <f aca="false">IF('Saída da Central'!A4="","",'Saída da Central'!J4&amp;"")</f>
        <v>Envio direto, sem fracionar</v>
      </c>
    </row>
    <row r="37" customFormat="false" ht="15" hidden="false" customHeight="false" outlineLevel="0" collapsed="false">
      <c r="A37" s="18" t="n">
        <f aca="false">IF('Saída da Central'!A5="","",'Saída da Central'!A5)</f>
        <v>46208</v>
      </c>
      <c r="B37" s="20" t="str">
        <f aca="false">IF('Saída da Central'!A5="","","Saída Central")</f>
        <v>Saída Central</v>
      </c>
      <c r="C37" s="20" t="str">
        <f aca="false">IF('Saída da Central'!A5="","","Central de Distribuição")</f>
        <v>Central de Distribuição</v>
      </c>
      <c r="D37" s="20" t="str">
        <f aca="false">IF('Saída da Central'!A5="","",'Saída da Central'!F5)</f>
        <v>Cozinha de Produção de Fracionados</v>
      </c>
      <c r="E37" s="20" t="str">
        <f aca="false">IF('Saída da Central'!A5="","",'Saída da Central'!C5)</f>
        <v>BR-005</v>
      </c>
      <c r="F37" s="20" t="str">
        <f aca="false">IF('Saída da Central'!A5="","",'Saída da Central'!D5)</f>
        <v>Tomate</v>
      </c>
      <c r="G37" s="16" t="n">
        <f aca="false">IF('Saída da Central'!A5="","",'Saída da Central'!G5)</f>
        <v>12</v>
      </c>
      <c r="H37" s="20" t="str">
        <f aca="false">IF('Saída da Central'!A5="","",'Saída da Central'!E5)</f>
        <v>KG</v>
      </c>
      <c r="I37" s="20" t="str">
        <f aca="false">IF('Saída da Central'!A5="","",'Saída da Central'!B5)</f>
        <v>SC-004</v>
      </c>
      <c r="J37" s="20" t="str">
        <f aca="false">IF('Saída da Central'!A5="","",'Saída da Central'!I5&amp;"")</f>
        <v>Igor Morgado</v>
      </c>
      <c r="K37" s="20" t="str">
        <f aca="false">IF('Saída da Central'!A5="","",'Saída da Central'!J5&amp;"")</f>
        <v/>
      </c>
    </row>
    <row r="38" customFormat="false" ht="15" hidden="false" customHeight="false" outlineLevel="0" collapsed="false">
      <c r="A38" s="18" t="n">
        <f aca="false">IF('Saída da Central'!A6="","",'Saída da Central'!A6)</f>
        <v>46209</v>
      </c>
      <c r="B38" s="20" t="str">
        <f aca="false">IF('Saída da Central'!A6="","","Saída Central")</f>
        <v>Saída Central</v>
      </c>
      <c r="C38" s="20" t="str">
        <f aca="false">IF('Saída da Central'!A6="","","Central de Distribuição")</f>
        <v>Central de Distribuição</v>
      </c>
      <c r="D38" s="20" t="str">
        <f aca="false">IF('Saída da Central'!A6="","",'Saída da Central'!F6)</f>
        <v>Cozinha de Produção de Fracionados</v>
      </c>
      <c r="E38" s="20" t="str">
        <f aca="false">IF('Saída da Central'!A6="","",'Saída da Central'!C6)</f>
        <v>BR-003</v>
      </c>
      <c r="F38" s="20" t="str">
        <f aca="false">IF('Saída da Central'!A6="","",'Saída da Central'!D6)</f>
        <v>Alface Americana</v>
      </c>
      <c r="G38" s="16" t="n">
        <f aca="false">IF('Saída da Central'!A6="","",'Saída da Central'!G6)</f>
        <v>10</v>
      </c>
      <c r="H38" s="20" t="str">
        <f aca="false">IF('Saída da Central'!A6="","",'Saída da Central'!E6)</f>
        <v>UN</v>
      </c>
      <c r="I38" s="20" t="str">
        <f aca="false">IF('Saída da Central'!A6="","",'Saída da Central'!B6)</f>
        <v>SC-005</v>
      </c>
      <c r="J38" s="20" t="str">
        <f aca="false">IF('Saída da Central'!A6="","",'Saída da Central'!I6&amp;"")</f>
        <v>Igor Morgado</v>
      </c>
      <c r="K38" s="20" t="str">
        <f aca="false">IF('Saída da Central'!A6="","",'Saída da Central'!J6&amp;"")</f>
        <v/>
      </c>
    </row>
    <row r="39" customFormat="false" ht="15" hidden="false" customHeight="false" outlineLevel="0" collapsed="false">
      <c r="A39" s="18" t="n">
        <f aca="false">IF('Saída da Central'!A7="","",'Saída da Central'!A7)</f>
        <v>46209</v>
      </c>
      <c r="B39" s="20" t="str">
        <f aca="false">IF('Saída da Central'!A7="","","Saída Central")</f>
        <v>Saída Central</v>
      </c>
      <c r="C39" s="20" t="str">
        <f aca="false">IF('Saída da Central'!A7="","","Central de Distribuição")</f>
        <v>Central de Distribuição</v>
      </c>
      <c r="D39" s="20" t="str">
        <f aca="false">IF('Saída da Central'!A7="","",'Saída da Central'!F7)</f>
        <v>Buffet Fran Casaria</v>
      </c>
      <c r="E39" s="20" t="str">
        <f aca="false">IF('Saída da Central'!A7="","",'Saída da Central'!C7)</f>
        <v>BR-004</v>
      </c>
      <c r="F39" s="20" t="str">
        <f aca="false">IF('Saída da Central'!A7="","",'Saída da Central'!D7)</f>
        <v>Filé de Frango</v>
      </c>
      <c r="G39" s="16" t="n">
        <f aca="false">IF('Saída da Central'!A7="","",'Saída da Central'!G7)</f>
        <v>5</v>
      </c>
      <c r="H39" s="20" t="str">
        <f aca="false">IF('Saída da Central'!A7="","",'Saída da Central'!E7)</f>
        <v>KG</v>
      </c>
      <c r="I39" s="20" t="str">
        <f aca="false">IF('Saída da Central'!A7="","",'Saída da Central'!B7)</f>
        <v>SC-006</v>
      </c>
      <c r="J39" s="20" t="str">
        <f aca="false">IF('Saída da Central'!A7="","",'Saída da Central'!I7&amp;"")</f>
        <v>Igor Morgado</v>
      </c>
      <c r="K39" s="20" t="str">
        <f aca="false">IF('Saída da Central'!A7="","",'Saída da Central'!J7&amp;"")</f>
        <v>Envio direto, sem fracionar</v>
      </c>
    </row>
    <row r="40" customFormat="false" ht="15" hidden="false" customHeight="false" outlineLevel="0" collapsed="false">
      <c r="A40" s="18" t="str">
        <f aca="false">IF('Saída da Central'!A8="","",'Saída da Central'!A8)</f>
        <v/>
      </c>
      <c r="B40" s="20" t="str">
        <f aca="false">IF('Saída da Central'!A8="","","Saída Central")</f>
        <v/>
      </c>
      <c r="C40" s="20" t="str">
        <f aca="false">IF('Saída da Central'!A8="","","Central de Distribuição")</f>
        <v/>
      </c>
      <c r="D40" s="20" t="str">
        <f aca="false">IF('Saída da Central'!A8="","",'Saída da Central'!F8)</f>
        <v/>
      </c>
      <c r="E40" s="20" t="str">
        <f aca="false">IF('Saída da Central'!A8="","",'Saída da Central'!C8)</f>
        <v/>
      </c>
      <c r="F40" s="20" t="str">
        <f aca="false">IF('Saída da Central'!A8="","",'Saída da Central'!D8)</f>
        <v/>
      </c>
      <c r="G40" s="20" t="str">
        <f aca="false">IF('Saída da Central'!A8="","",'Saída da Central'!G8)</f>
        <v/>
      </c>
      <c r="H40" s="20" t="str">
        <f aca="false">IF('Saída da Central'!A8="","",'Saída da Central'!E8)</f>
        <v/>
      </c>
      <c r="I40" s="20" t="str">
        <f aca="false">IF('Saída da Central'!A8="","",'Saída da Central'!B8)</f>
        <v/>
      </c>
      <c r="J40" s="20" t="str">
        <f aca="false">IF('Saída da Central'!A8="","",'Saída da Central'!I8&amp;"")</f>
        <v/>
      </c>
      <c r="K40" s="20" t="str">
        <f aca="false">IF('Saída da Central'!A8="","",'Saída da Central'!J8&amp;"")</f>
        <v/>
      </c>
    </row>
    <row r="41" customFormat="false" ht="15" hidden="false" customHeight="false" outlineLevel="0" collapsed="false">
      <c r="A41" s="18" t="str">
        <f aca="false">IF('Saída da Central'!A9="","",'Saída da Central'!A9)</f>
        <v/>
      </c>
      <c r="B41" s="20" t="str">
        <f aca="false">IF('Saída da Central'!A9="","","Saída Central")</f>
        <v/>
      </c>
      <c r="C41" s="20" t="str">
        <f aca="false">IF('Saída da Central'!A9="","","Central de Distribuição")</f>
        <v/>
      </c>
      <c r="D41" s="20" t="str">
        <f aca="false">IF('Saída da Central'!A9="","",'Saída da Central'!F9)</f>
        <v/>
      </c>
      <c r="E41" s="20" t="str">
        <f aca="false">IF('Saída da Central'!A9="","",'Saída da Central'!C9)</f>
        <v/>
      </c>
      <c r="F41" s="20" t="str">
        <f aca="false">IF('Saída da Central'!A9="","",'Saída da Central'!D9)</f>
        <v/>
      </c>
      <c r="G41" s="20" t="str">
        <f aca="false">IF('Saída da Central'!A9="","",'Saída da Central'!G9)</f>
        <v/>
      </c>
      <c r="H41" s="20" t="str">
        <f aca="false">IF('Saída da Central'!A9="","",'Saída da Central'!E9)</f>
        <v/>
      </c>
      <c r="I41" s="20" t="str">
        <f aca="false">IF('Saída da Central'!A9="","",'Saída da Central'!B9)</f>
        <v/>
      </c>
      <c r="J41" s="20" t="str">
        <f aca="false">IF('Saída da Central'!A9="","",'Saída da Central'!I9&amp;"")</f>
        <v/>
      </c>
      <c r="K41" s="20" t="str">
        <f aca="false">IF('Saída da Central'!A9="","",'Saída da Central'!J9&amp;"")</f>
        <v/>
      </c>
    </row>
    <row r="42" customFormat="false" ht="15" hidden="false" customHeight="false" outlineLevel="0" collapsed="false">
      <c r="A42" s="18" t="str">
        <f aca="false">IF('Saída da Central'!A10="","",'Saída da Central'!A10)</f>
        <v/>
      </c>
      <c r="B42" s="20" t="str">
        <f aca="false">IF('Saída da Central'!A10="","","Saída Central")</f>
        <v/>
      </c>
      <c r="C42" s="20" t="str">
        <f aca="false">IF('Saída da Central'!A10="","","Central de Distribuição")</f>
        <v/>
      </c>
      <c r="D42" s="20" t="str">
        <f aca="false">IF('Saída da Central'!A10="","",'Saída da Central'!F10)</f>
        <v/>
      </c>
      <c r="E42" s="20" t="str">
        <f aca="false">IF('Saída da Central'!A10="","",'Saída da Central'!C10)</f>
        <v/>
      </c>
      <c r="F42" s="20" t="str">
        <f aca="false">IF('Saída da Central'!A10="","",'Saída da Central'!D10)</f>
        <v/>
      </c>
      <c r="G42" s="20" t="str">
        <f aca="false">IF('Saída da Central'!A10="","",'Saída da Central'!G10)</f>
        <v/>
      </c>
      <c r="H42" s="20" t="str">
        <f aca="false">IF('Saída da Central'!A10="","",'Saída da Central'!E10)</f>
        <v/>
      </c>
      <c r="I42" s="20" t="str">
        <f aca="false">IF('Saída da Central'!A10="","",'Saída da Central'!B10)</f>
        <v/>
      </c>
      <c r="J42" s="20" t="str">
        <f aca="false">IF('Saída da Central'!A10="","",'Saída da Central'!I10&amp;"")</f>
        <v/>
      </c>
      <c r="K42" s="20" t="str">
        <f aca="false">IF('Saída da Central'!A10="","",'Saída da Central'!J10&amp;"")</f>
        <v/>
      </c>
    </row>
    <row r="43" customFormat="false" ht="15" hidden="false" customHeight="false" outlineLevel="0" collapsed="false">
      <c r="A43" s="18" t="str">
        <f aca="false">IF('Saída da Central'!A11="","",'Saída da Central'!A11)</f>
        <v/>
      </c>
      <c r="B43" s="20" t="str">
        <f aca="false">IF('Saída da Central'!A11="","","Saída Central")</f>
        <v/>
      </c>
      <c r="C43" s="20" t="str">
        <f aca="false">IF('Saída da Central'!A11="","","Central de Distribuição")</f>
        <v/>
      </c>
      <c r="D43" s="20" t="str">
        <f aca="false">IF('Saída da Central'!A11="","",'Saída da Central'!F11)</f>
        <v/>
      </c>
      <c r="E43" s="20" t="str">
        <f aca="false">IF('Saída da Central'!A11="","",'Saída da Central'!C11)</f>
        <v/>
      </c>
      <c r="F43" s="20" t="str">
        <f aca="false">IF('Saída da Central'!A11="","",'Saída da Central'!D11)</f>
        <v/>
      </c>
      <c r="G43" s="20" t="str">
        <f aca="false">IF('Saída da Central'!A11="","",'Saída da Central'!G11)</f>
        <v/>
      </c>
      <c r="H43" s="20" t="str">
        <f aca="false">IF('Saída da Central'!A11="","",'Saída da Central'!E11)</f>
        <v/>
      </c>
      <c r="I43" s="20" t="str">
        <f aca="false">IF('Saída da Central'!A11="","",'Saída da Central'!B11)</f>
        <v/>
      </c>
      <c r="J43" s="20" t="str">
        <f aca="false">IF('Saída da Central'!A11="","",'Saída da Central'!I11&amp;"")</f>
        <v/>
      </c>
      <c r="K43" s="20" t="str">
        <f aca="false">IF('Saída da Central'!A11="","",'Saída da Central'!J11&amp;"")</f>
        <v/>
      </c>
    </row>
    <row r="44" customFormat="false" ht="15" hidden="false" customHeight="false" outlineLevel="0" collapsed="false">
      <c r="A44" s="18" t="str">
        <f aca="false">IF('Saída da Central'!A12="","",'Saída da Central'!A12)</f>
        <v/>
      </c>
      <c r="B44" s="20" t="str">
        <f aca="false">IF('Saída da Central'!A12="","","Saída Central")</f>
        <v/>
      </c>
      <c r="C44" s="20" t="str">
        <f aca="false">IF('Saída da Central'!A12="","","Central de Distribuição")</f>
        <v/>
      </c>
      <c r="D44" s="20" t="str">
        <f aca="false">IF('Saída da Central'!A12="","",'Saída da Central'!F12)</f>
        <v/>
      </c>
      <c r="E44" s="20" t="str">
        <f aca="false">IF('Saída da Central'!A12="","",'Saída da Central'!C12)</f>
        <v/>
      </c>
      <c r="F44" s="20" t="str">
        <f aca="false">IF('Saída da Central'!A12="","",'Saída da Central'!D12)</f>
        <v/>
      </c>
      <c r="G44" s="20" t="str">
        <f aca="false">IF('Saída da Central'!A12="","",'Saída da Central'!G12)</f>
        <v/>
      </c>
      <c r="H44" s="20" t="str">
        <f aca="false">IF('Saída da Central'!A12="","",'Saída da Central'!E12)</f>
        <v/>
      </c>
      <c r="I44" s="20" t="str">
        <f aca="false">IF('Saída da Central'!A12="","",'Saída da Central'!B12)</f>
        <v/>
      </c>
      <c r="J44" s="20" t="str">
        <f aca="false">IF('Saída da Central'!A12="","",'Saída da Central'!I12&amp;"")</f>
        <v/>
      </c>
      <c r="K44" s="20" t="str">
        <f aca="false">IF('Saída da Central'!A12="","",'Saída da Central'!J12&amp;"")</f>
        <v/>
      </c>
    </row>
    <row r="45" customFormat="false" ht="15" hidden="false" customHeight="false" outlineLevel="0" collapsed="false">
      <c r="A45" s="18" t="str">
        <f aca="false">IF('Saída da Central'!A13="","",'Saída da Central'!A13)</f>
        <v/>
      </c>
      <c r="B45" s="20" t="str">
        <f aca="false">IF('Saída da Central'!A13="","","Saída Central")</f>
        <v/>
      </c>
      <c r="C45" s="20" t="str">
        <f aca="false">IF('Saída da Central'!A13="","","Central de Distribuição")</f>
        <v/>
      </c>
      <c r="D45" s="20" t="str">
        <f aca="false">IF('Saída da Central'!A13="","",'Saída da Central'!F13)</f>
        <v/>
      </c>
      <c r="E45" s="20" t="str">
        <f aca="false">IF('Saída da Central'!A13="","",'Saída da Central'!C13)</f>
        <v/>
      </c>
      <c r="F45" s="20" t="str">
        <f aca="false">IF('Saída da Central'!A13="","",'Saída da Central'!D13)</f>
        <v/>
      </c>
      <c r="G45" s="20" t="str">
        <f aca="false">IF('Saída da Central'!A13="","",'Saída da Central'!G13)</f>
        <v/>
      </c>
      <c r="H45" s="20" t="str">
        <f aca="false">IF('Saída da Central'!A13="","",'Saída da Central'!E13)</f>
        <v/>
      </c>
      <c r="I45" s="20" t="str">
        <f aca="false">IF('Saída da Central'!A13="","",'Saída da Central'!B13)</f>
        <v/>
      </c>
      <c r="J45" s="20" t="str">
        <f aca="false">IF('Saída da Central'!A13="","",'Saída da Central'!I13&amp;"")</f>
        <v/>
      </c>
      <c r="K45" s="20" t="str">
        <f aca="false">IF('Saída da Central'!A13="","",'Saída da Central'!J13&amp;"")</f>
        <v/>
      </c>
    </row>
    <row r="46" customFormat="false" ht="15" hidden="false" customHeight="false" outlineLevel="0" collapsed="false">
      <c r="A46" s="18" t="str">
        <f aca="false">IF('Saída da Central'!A14="","",'Saída da Central'!A14)</f>
        <v/>
      </c>
      <c r="B46" s="20" t="str">
        <f aca="false">IF('Saída da Central'!A14="","","Saída Central")</f>
        <v/>
      </c>
      <c r="C46" s="20" t="str">
        <f aca="false">IF('Saída da Central'!A14="","","Central de Distribuição")</f>
        <v/>
      </c>
      <c r="D46" s="20" t="str">
        <f aca="false">IF('Saída da Central'!A14="","",'Saída da Central'!F14)</f>
        <v/>
      </c>
      <c r="E46" s="20" t="str">
        <f aca="false">IF('Saída da Central'!A14="","",'Saída da Central'!C14)</f>
        <v/>
      </c>
      <c r="F46" s="20" t="str">
        <f aca="false">IF('Saída da Central'!A14="","",'Saída da Central'!D14)</f>
        <v/>
      </c>
      <c r="G46" s="20" t="str">
        <f aca="false">IF('Saída da Central'!A14="","",'Saída da Central'!G14)</f>
        <v/>
      </c>
      <c r="H46" s="20" t="str">
        <f aca="false">IF('Saída da Central'!A14="","",'Saída da Central'!E14)</f>
        <v/>
      </c>
      <c r="I46" s="20" t="str">
        <f aca="false">IF('Saída da Central'!A14="","",'Saída da Central'!B14)</f>
        <v/>
      </c>
      <c r="J46" s="20" t="str">
        <f aca="false">IF('Saída da Central'!A14="","",'Saída da Central'!I14&amp;"")</f>
        <v/>
      </c>
      <c r="K46" s="20" t="str">
        <f aca="false">IF('Saída da Central'!A14="","",'Saída da Central'!J14&amp;"")</f>
        <v/>
      </c>
    </row>
    <row r="47" customFormat="false" ht="15" hidden="false" customHeight="false" outlineLevel="0" collapsed="false">
      <c r="A47" s="18" t="str">
        <f aca="false">IF('Saída da Central'!A15="","",'Saída da Central'!A15)</f>
        <v/>
      </c>
      <c r="B47" s="20" t="str">
        <f aca="false">IF('Saída da Central'!A15="","","Saída Central")</f>
        <v/>
      </c>
      <c r="C47" s="20" t="str">
        <f aca="false">IF('Saída da Central'!A15="","","Central de Distribuição")</f>
        <v/>
      </c>
      <c r="D47" s="20" t="str">
        <f aca="false">IF('Saída da Central'!A15="","",'Saída da Central'!F15)</f>
        <v/>
      </c>
      <c r="E47" s="20" t="str">
        <f aca="false">IF('Saída da Central'!A15="","",'Saída da Central'!C15)</f>
        <v/>
      </c>
      <c r="F47" s="20" t="str">
        <f aca="false">IF('Saída da Central'!A15="","",'Saída da Central'!D15)</f>
        <v/>
      </c>
      <c r="G47" s="20" t="str">
        <f aca="false">IF('Saída da Central'!A15="","",'Saída da Central'!G15)</f>
        <v/>
      </c>
      <c r="H47" s="20" t="str">
        <f aca="false">IF('Saída da Central'!A15="","",'Saída da Central'!E15)</f>
        <v/>
      </c>
      <c r="I47" s="20" t="str">
        <f aca="false">IF('Saída da Central'!A15="","",'Saída da Central'!B15)</f>
        <v/>
      </c>
      <c r="J47" s="20" t="str">
        <f aca="false">IF('Saída da Central'!A15="","",'Saída da Central'!I15&amp;"")</f>
        <v/>
      </c>
      <c r="K47" s="20" t="str">
        <f aca="false">IF('Saída da Central'!A15="","",'Saída da Central'!J15&amp;"")</f>
        <v/>
      </c>
    </row>
    <row r="48" customFormat="false" ht="15" hidden="false" customHeight="false" outlineLevel="0" collapsed="false">
      <c r="A48" s="18" t="str">
        <f aca="false">IF('Saída da Central'!A16="","",'Saída da Central'!A16)</f>
        <v/>
      </c>
      <c r="B48" s="20" t="str">
        <f aca="false">IF('Saída da Central'!A16="","","Saída Central")</f>
        <v/>
      </c>
      <c r="C48" s="20" t="str">
        <f aca="false">IF('Saída da Central'!A16="","","Central de Distribuição")</f>
        <v/>
      </c>
      <c r="D48" s="20" t="str">
        <f aca="false">IF('Saída da Central'!A16="","",'Saída da Central'!F16)</f>
        <v/>
      </c>
      <c r="E48" s="20" t="str">
        <f aca="false">IF('Saída da Central'!A16="","",'Saída da Central'!C16)</f>
        <v/>
      </c>
      <c r="F48" s="20" t="str">
        <f aca="false">IF('Saída da Central'!A16="","",'Saída da Central'!D16)</f>
        <v/>
      </c>
      <c r="G48" s="20" t="str">
        <f aca="false">IF('Saída da Central'!A16="","",'Saída da Central'!G16)</f>
        <v/>
      </c>
      <c r="H48" s="20" t="str">
        <f aca="false">IF('Saída da Central'!A16="","",'Saída da Central'!E16)</f>
        <v/>
      </c>
      <c r="I48" s="20" t="str">
        <f aca="false">IF('Saída da Central'!A16="","",'Saída da Central'!B16)</f>
        <v/>
      </c>
      <c r="J48" s="20" t="str">
        <f aca="false">IF('Saída da Central'!A16="","",'Saída da Central'!I16&amp;"")</f>
        <v/>
      </c>
      <c r="K48" s="20" t="str">
        <f aca="false">IF('Saída da Central'!A16="","",'Saída da Central'!J16&amp;"")</f>
        <v/>
      </c>
    </row>
    <row r="49" customFormat="false" ht="15" hidden="false" customHeight="false" outlineLevel="0" collapsed="false">
      <c r="A49" s="18" t="str">
        <f aca="false">IF('Saída da Central'!A17="","",'Saída da Central'!A17)</f>
        <v/>
      </c>
      <c r="B49" s="20" t="str">
        <f aca="false">IF('Saída da Central'!A17="","","Saída Central")</f>
        <v/>
      </c>
      <c r="C49" s="20" t="str">
        <f aca="false">IF('Saída da Central'!A17="","","Central de Distribuição")</f>
        <v/>
      </c>
      <c r="D49" s="20" t="str">
        <f aca="false">IF('Saída da Central'!A17="","",'Saída da Central'!F17)</f>
        <v/>
      </c>
      <c r="E49" s="20" t="str">
        <f aca="false">IF('Saída da Central'!A17="","",'Saída da Central'!C17)</f>
        <v/>
      </c>
      <c r="F49" s="20" t="str">
        <f aca="false">IF('Saída da Central'!A17="","",'Saída da Central'!D17)</f>
        <v/>
      </c>
      <c r="G49" s="20" t="str">
        <f aca="false">IF('Saída da Central'!A17="","",'Saída da Central'!G17)</f>
        <v/>
      </c>
      <c r="H49" s="20" t="str">
        <f aca="false">IF('Saída da Central'!A17="","",'Saída da Central'!E17)</f>
        <v/>
      </c>
      <c r="I49" s="20" t="str">
        <f aca="false">IF('Saída da Central'!A17="","",'Saída da Central'!B17)</f>
        <v/>
      </c>
      <c r="J49" s="20" t="str">
        <f aca="false">IF('Saída da Central'!A17="","",'Saída da Central'!I17&amp;"")</f>
        <v/>
      </c>
      <c r="K49" s="20" t="str">
        <f aca="false">IF('Saída da Central'!A17="","",'Saída da Central'!J17&amp;"")</f>
        <v/>
      </c>
    </row>
    <row r="50" customFormat="false" ht="15" hidden="false" customHeight="false" outlineLevel="0" collapsed="false">
      <c r="A50" s="18" t="str">
        <f aca="false">IF('Saída da Central'!A18="","",'Saída da Central'!A18)</f>
        <v/>
      </c>
      <c r="B50" s="20" t="str">
        <f aca="false">IF('Saída da Central'!A18="","","Saída Central")</f>
        <v/>
      </c>
      <c r="C50" s="20" t="str">
        <f aca="false">IF('Saída da Central'!A18="","","Central de Distribuição")</f>
        <v/>
      </c>
      <c r="D50" s="20" t="str">
        <f aca="false">IF('Saída da Central'!A18="","",'Saída da Central'!F18)</f>
        <v/>
      </c>
      <c r="E50" s="20" t="str">
        <f aca="false">IF('Saída da Central'!A18="","",'Saída da Central'!C18)</f>
        <v/>
      </c>
      <c r="F50" s="20" t="str">
        <f aca="false">IF('Saída da Central'!A18="","",'Saída da Central'!D18)</f>
        <v/>
      </c>
      <c r="G50" s="20" t="str">
        <f aca="false">IF('Saída da Central'!A18="","",'Saída da Central'!G18)</f>
        <v/>
      </c>
      <c r="H50" s="20" t="str">
        <f aca="false">IF('Saída da Central'!A18="","",'Saída da Central'!E18)</f>
        <v/>
      </c>
      <c r="I50" s="20" t="str">
        <f aca="false">IF('Saída da Central'!A18="","",'Saída da Central'!B18)</f>
        <v/>
      </c>
      <c r="J50" s="20" t="str">
        <f aca="false">IF('Saída da Central'!A18="","",'Saída da Central'!I18&amp;"")</f>
        <v/>
      </c>
      <c r="K50" s="20" t="str">
        <f aca="false">IF('Saída da Central'!A18="","",'Saída da Central'!J18&amp;"")</f>
        <v/>
      </c>
    </row>
    <row r="51" customFormat="false" ht="15" hidden="false" customHeight="false" outlineLevel="0" collapsed="false">
      <c r="A51" s="18" t="str">
        <f aca="false">IF('Saída da Central'!A19="","",'Saída da Central'!A19)</f>
        <v/>
      </c>
      <c r="B51" s="20" t="str">
        <f aca="false">IF('Saída da Central'!A19="","","Saída Central")</f>
        <v/>
      </c>
      <c r="C51" s="20" t="str">
        <f aca="false">IF('Saída da Central'!A19="","","Central de Distribuição")</f>
        <v/>
      </c>
      <c r="D51" s="20" t="str">
        <f aca="false">IF('Saída da Central'!A19="","",'Saída da Central'!F19)</f>
        <v/>
      </c>
      <c r="E51" s="20" t="str">
        <f aca="false">IF('Saída da Central'!A19="","",'Saída da Central'!C19)</f>
        <v/>
      </c>
      <c r="F51" s="20" t="str">
        <f aca="false">IF('Saída da Central'!A19="","",'Saída da Central'!D19)</f>
        <v/>
      </c>
      <c r="G51" s="20" t="str">
        <f aca="false">IF('Saída da Central'!A19="","",'Saída da Central'!G19)</f>
        <v/>
      </c>
      <c r="H51" s="20" t="str">
        <f aca="false">IF('Saída da Central'!A19="","",'Saída da Central'!E19)</f>
        <v/>
      </c>
      <c r="I51" s="20" t="str">
        <f aca="false">IF('Saída da Central'!A19="","",'Saída da Central'!B19)</f>
        <v/>
      </c>
      <c r="J51" s="20" t="str">
        <f aca="false">IF('Saída da Central'!A19="","",'Saída da Central'!I19&amp;"")</f>
        <v/>
      </c>
      <c r="K51" s="20" t="str">
        <f aca="false">IF('Saída da Central'!A19="","",'Saída da Central'!J19&amp;"")</f>
        <v/>
      </c>
    </row>
    <row r="52" customFormat="false" ht="15" hidden="false" customHeight="false" outlineLevel="0" collapsed="false">
      <c r="A52" s="18" t="str">
        <f aca="false">IF('Saída da Central'!A20="","",'Saída da Central'!A20)</f>
        <v/>
      </c>
      <c r="B52" s="20" t="str">
        <f aca="false">IF('Saída da Central'!A20="","","Saída Central")</f>
        <v/>
      </c>
      <c r="C52" s="20" t="str">
        <f aca="false">IF('Saída da Central'!A20="","","Central de Distribuição")</f>
        <v/>
      </c>
      <c r="D52" s="20" t="str">
        <f aca="false">IF('Saída da Central'!A20="","",'Saída da Central'!F20)</f>
        <v/>
      </c>
      <c r="E52" s="20" t="str">
        <f aca="false">IF('Saída da Central'!A20="","",'Saída da Central'!C20)</f>
        <v/>
      </c>
      <c r="F52" s="20" t="str">
        <f aca="false">IF('Saída da Central'!A20="","",'Saída da Central'!D20)</f>
        <v/>
      </c>
      <c r="G52" s="20" t="str">
        <f aca="false">IF('Saída da Central'!A20="","",'Saída da Central'!G20)</f>
        <v/>
      </c>
      <c r="H52" s="20" t="str">
        <f aca="false">IF('Saída da Central'!A20="","",'Saída da Central'!E20)</f>
        <v/>
      </c>
      <c r="I52" s="20" t="str">
        <f aca="false">IF('Saída da Central'!A20="","",'Saída da Central'!B20)</f>
        <v/>
      </c>
      <c r="J52" s="20" t="str">
        <f aca="false">IF('Saída da Central'!A20="","",'Saída da Central'!I20&amp;"")</f>
        <v/>
      </c>
      <c r="K52" s="20" t="str">
        <f aca="false">IF('Saída da Central'!A20="","",'Saída da Central'!J20&amp;"")</f>
        <v/>
      </c>
    </row>
    <row r="53" customFormat="false" ht="15" hidden="false" customHeight="false" outlineLevel="0" collapsed="false">
      <c r="A53" s="18" t="str">
        <f aca="false">IF('Saída da Central'!A21="","",'Saída da Central'!A21)</f>
        <v/>
      </c>
      <c r="B53" s="20" t="str">
        <f aca="false">IF('Saída da Central'!A21="","","Saída Central")</f>
        <v/>
      </c>
      <c r="C53" s="20" t="str">
        <f aca="false">IF('Saída da Central'!A21="","","Central de Distribuição")</f>
        <v/>
      </c>
      <c r="D53" s="20" t="str">
        <f aca="false">IF('Saída da Central'!A21="","",'Saída da Central'!F21)</f>
        <v/>
      </c>
      <c r="E53" s="20" t="str">
        <f aca="false">IF('Saída da Central'!A21="","",'Saída da Central'!C21)</f>
        <v/>
      </c>
      <c r="F53" s="20" t="str">
        <f aca="false">IF('Saída da Central'!A21="","",'Saída da Central'!D21)</f>
        <v/>
      </c>
      <c r="G53" s="20" t="str">
        <f aca="false">IF('Saída da Central'!A21="","",'Saída da Central'!G21)</f>
        <v/>
      </c>
      <c r="H53" s="20" t="str">
        <f aca="false">IF('Saída da Central'!A21="","",'Saída da Central'!E21)</f>
        <v/>
      </c>
      <c r="I53" s="20" t="str">
        <f aca="false">IF('Saída da Central'!A21="","",'Saída da Central'!B21)</f>
        <v/>
      </c>
      <c r="J53" s="20" t="str">
        <f aca="false">IF('Saída da Central'!A21="","",'Saída da Central'!I21&amp;"")</f>
        <v/>
      </c>
      <c r="K53" s="20" t="str">
        <f aca="false">IF('Saída da Central'!A21="","",'Saída da Central'!J21&amp;"")</f>
        <v/>
      </c>
    </row>
    <row r="54" customFormat="false" ht="15" hidden="false" customHeight="false" outlineLevel="0" collapsed="false">
      <c r="A54" s="18" t="str">
        <f aca="false">IF('Saída da Central'!A22="","",'Saída da Central'!A22)</f>
        <v/>
      </c>
      <c r="B54" s="20" t="str">
        <f aca="false">IF('Saída da Central'!A22="","","Saída Central")</f>
        <v/>
      </c>
      <c r="C54" s="20" t="str">
        <f aca="false">IF('Saída da Central'!A22="","","Central de Distribuição")</f>
        <v/>
      </c>
      <c r="D54" s="20" t="str">
        <f aca="false">IF('Saída da Central'!A22="","",'Saída da Central'!F22)</f>
        <v/>
      </c>
      <c r="E54" s="20" t="str">
        <f aca="false">IF('Saída da Central'!A22="","",'Saída da Central'!C22)</f>
        <v/>
      </c>
      <c r="F54" s="20" t="str">
        <f aca="false">IF('Saída da Central'!A22="","",'Saída da Central'!D22)</f>
        <v/>
      </c>
      <c r="G54" s="20" t="str">
        <f aca="false">IF('Saída da Central'!A22="","",'Saída da Central'!G22)</f>
        <v/>
      </c>
      <c r="H54" s="20" t="str">
        <f aca="false">IF('Saída da Central'!A22="","",'Saída da Central'!E22)</f>
        <v/>
      </c>
      <c r="I54" s="20" t="str">
        <f aca="false">IF('Saída da Central'!A22="","",'Saída da Central'!B22)</f>
        <v/>
      </c>
      <c r="J54" s="20" t="str">
        <f aca="false">IF('Saída da Central'!A22="","",'Saída da Central'!I22&amp;"")</f>
        <v/>
      </c>
      <c r="K54" s="20" t="str">
        <f aca="false">IF('Saída da Central'!A22="","",'Saída da Central'!J22&amp;"")</f>
        <v/>
      </c>
    </row>
    <row r="55" customFormat="false" ht="15" hidden="false" customHeight="false" outlineLevel="0" collapsed="false">
      <c r="A55" s="18" t="str">
        <f aca="false">IF('Saída da Central'!A23="","",'Saída da Central'!A23)</f>
        <v/>
      </c>
      <c r="B55" s="20" t="str">
        <f aca="false">IF('Saída da Central'!A23="","","Saída Central")</f>
        <v/>
      </c>
      <c r="C55" s="20" t="str">
        <f aca="false">IF('Saída da Central'!A23="","","Central de Distribuição")</f>
        <v/>
      </c>
      <c r="D55" s="20" t="str">
        <f aca="false">IF('Saída da Central'!A23="","",'Saída da Central'!F23)</f>
        <v/>
      </c>
      <c r="E55" s="20" t="str">
        <f aca="false">IF('Saída da Central'!A23="","",'Saída da Central'!C23)</f>
        <v/>
      </c>
      <c r="F55" s="20" t="str">
        <f aca="false">IF('Saída da Central'!A23="","",'Saída da Central'!D23)</f>
        <v/>
      </c>
      <c r="G55" s="20" t="str">
        <f aca="false">IF('Saída da Central'!A23="","",'Saída da Central'!G23)</f>
        <v/>
      </c>
      <c r="H55" s="20" t="str">
        <f aca="false">IF('Saída da Central'!A23="","",'Saída da Central'!E23)</f>
        <v/>
      </c>
      <c r="I55" s="20" t="str">
        <f aca="false">IF('Saída da Central'!A23="","",'Saída da Central'!B23)</f>
        <v/>
      </c>
      <c r="J55" s="20" t="str">
        <f aca="false">IF('Saída da Central'!A23="","",'Saída da Central'!I23&amp;"")</f>
        <v/>
      </c>
      <c r="K55" s="20" t="str">
        <f aca="false">IF('Saída da Central'!A23="","",'Saída da Central'!J23&amp;"")</f>
        <v/>
      </c>
    </row>
    <row r="56" customFormat="false" ht="15" hidden="false" customHeight="false" outlineLevel="0" collapsed="false">
      <c r="A56" s="18" t="str">
        <f aca="false">IF('Saída da Central'!A24="","",'Saída da Central'!A24)</f>
        <v/>
      </c>
      <c r="B56" s="20" t="str">
        <f aca="false">IF('Saída da Central'!A24="","","Saída Central")</f>
        <v/>
      </c>
      <c r="C56" s="20" t="str">
        <f aca="false">IF('Saída da Central'!A24="","","Central de Distribuição")</f>
        <v/>
      </c>
      <c r="D56" s="20" t="str">
        <f aca="false">IF('Saída da Central'!A24="","",'Saída da Central'!F24)</f>
        <v/>
      </c>
      <c r="E56" s="20" t="str">
        <f aca="false">IF('Saída da Central'!A24="","",'Saída da Central'!C24)</f>
        <v/>
      </c>
      <c r="F56" s="20" t="str">
        <f aca="false">IF('Saída da Central'!A24="","",'Saída da Central'!D24)</f>
        <v/>
      </c>
      <c r="G56" s="20" t="str">
        <f aca="false">IF('Saída da Central'!A24="","",'Saída da Central'!G24)</f>
        <v/>
      </c>
      <c r="H56" s="20" t="str">
        <f aca="false">IF('Saída da Central'!A24="","",'Saída da Central'!E24)</f>
        <v/>
      </c>
      <c r="I56" s="20" t="str">
        <f aca="false">IF('Saída da Central'!A24="","",'Saída da Central'!B24)</f>
        <v/>
      </c>
      <c r="J56" s="20" t="str">
        <f aca="false">IF('Saída da Central'!A24="","",'Saída da Central'!I24&amp;"")</f>
        <v/>
      </c>
      <c r="K56" s="20" t="str">
        <f aca="false">IF('Saída da Central'!A24="","",'Saída da Central'!J24&amp;"")</f>
        <v/>
      </c>
    </row>
    <row r="57" customFormat="false" ht="15" hidden="false" customHeight="false" outlineLevel="0" collapsed="false">
      <c r="A57" s="18" t="str">
        <f aca="false">IF('Saída da Central'!A25="","",'Saída da Central'!A25)</f>
        <v/>
      </c>
      <c r="B57" s="20" t="str">
        <f aca="false">IF('Saída da Central'!A25="","","Saída Central")</f>
        <v/>
      </c>
      <c r="C57" s="20" t="str">
        <f aca="false">IF('Saída da Central'!A25="","","Central de Distribuição")</f>
        <v/>
      </c>
      <c r="D57" s="20" t="str">
        <f aca="false">IF('Saída da Central'!A25="","",'Saída da Central'!F25)</f>
        <v/>
      </c>
      <c r="E57" s="20" t="str">
        <f aca="false">IF('Saída da Central'!A25="","",'Saída da Central'!C25)</f>
        <v/>
      </c>
      <c r="F57" s="20" t="str">
        <f aca="false">IF('Saída da Central'!A25="","",'Saída da Central'!D25)</f>
        <v/>
      </c>
      <c r="G57" s="20" t="str">
        <f aca="false">IF('Saída da Central'!A25="","",'Saída da Central'!G25)</f>
        <v/>
      </c>
      <c r="H57" s="20" t="str">
        <f aca="false">IF('Saída da Central'!A25="","",'Saída da Central'!E25)</f>
        <v/>
      </c>
      <c r="I57" s="20" t="str">
        <f aca="false">IF('Saída da Central'!A25="","",'Saída da Central'!B25)</f>
        <v/>
      </c>
      <c r="J57" s="20" t="str">
        <f aca="false">IF('Saída da Central'!A25="","",'Saída da Central'!I25&amp;"")</f>
        <v/>
      </c>
      <c r="K57" s="20" t="str">
        <f aca="false">IF('Saída da Central'!A25="","",'Saída da Central'!J25&amp;"")</f>
        <v/>
      </c>
    </row>
    <row r="58" customFormat="false" ht="15" hidden="false" customHeight="false" outlineLevel="0" collapsed="false">
      <c r="A58" s="18" t="str">
        <f aca="false">IF('Saída da Central'!A26="","",'Saída da Central'!A26)</f>
        <v/>
      </c>
      <c r="B58" s="20" t="str">
        <f aca="false">IF('Saída da Central'!A26="","","Saída Central")</f>
        <v/>
      </c>
      <c r="C58" s="20" t="str">
        <f aca="false">IF('Saída da Central'!A26="","","Central de Distribuição")</f>
        <v/>
      </c>
      <c r="D58" s="20" t="str">
        <f aca="false">IF('Saída da Central'!A26="","",'Saída da Central'!F26)</f>
        <v/>
      </c>
      <c r="E58" s="20" t="str">
        <f aca="false">IF('Saída da Central'!A26="","",'Saída da Central'!C26)</f>
        <v/>
      </c>
      <c r="F58" s="20" t="str">
        <f aca="false">IF('Saída da Central'!A26="","",'Saída da Central'!D26)</f>
        <v/>
      </c>
      <c r="G58" s="20" t="str">
        <f aca="false">IF('Saída da Central'!A26="","",'Saída da Central'!G26)</f>
        <v/>
      </c>
      <c r="H58" s="20" t="str">
        <f aca="false">IF('Saída da Central'!A26="","",'Saída da Central'!E26)</f>
        <v/>
      </c>
      <c r="I58" s="20" t="str">
        <f aca="false">IF('Saída da Central'!A26="","",'Saída da Central'!B26)</f>
        <v/>
      </c>
      <c r="J58" s="20" t="str">
        <f aca="false">IF('Saída da Central'!A26="","",'Saída da Central'!I26&amp;"")</f>
        <v/>
      </c>
      <c r="K58" s="20" t="str">
        <f aca="false">IF('Saída da Central'!A26="","",'Saída da Central'!J26&amp;"")</f>
        <v/>
      </c>
    </row>
    <row r="59" customFormat="false" ht="15" hidden="false" customHeight="false" outlineLevel="0" collapsed="false">
      <c r="A59" s="18" t="str">
        <f aca="false">IF('Saída da Central'!A27="","",'Saída da Central'!A27)</f>
        <v/>
      </c>
      <c r="B59" s="20" t="str">
        <f aca="false">IF('Saída da Central'!A27="","","Saída Central")</f>
        <v/>
      </c>
      <c r="C59" s="20" t="str">
        <f aca="false">IF('Saída da Central'!A27="","","Central de Distribuição")</f>
        <v/>
      </c>
      <c r="D59" s="20" t="str">
        <f aca="false">IF('Saída da Central'!A27="","",'Saída da Central'!F27)</f>
        <v/>
      </c>
      <c r="E59" s="20" t="str">
        <f aca="false">IF('Saída da Central'!A27="","",'Saída da Central'!C27)</f>
        <v/>
      </c>
      <c r="F59" s="20" t="str">
        <f aca="false">IF('Saída da Central'!A27="","",'Saída da Central'!D27)</f>
        <v/>
      </c>
      <c r="G59" s="20" t="str">
        <f aca="false">IF('Saída da Central'!A27="","",'Saída da Central'!G27)</f>
        <v/>
      </c>
      <c r="H59" s="20" t="str">
        <f aca="false">IF('Saída da Central'!A27="","",'Saída da Central'!E27)</f>
        <v/>
      </c>
      <c r="I59" s="20" t="str">
        <f aca="false">IF('Saída da Central'!A27="","",'Saída da Central'!B27)</f>
        <v/>
      </c>
      <c r="J59" s="20" t="str">
        <f aca="false">IF('Saída da Central'!A27="","",'Saída da Central'!I27&amp;"")</f>
        <v/>
      </c>
      <c r="K59" s="20" t="str">
        <f aca="false">IF('Saída da Central'!A27="","",'Saída da Central'!J27&amp;"")</f>
        <v/>
      </c>
    </row>
    <row r="60" customFormat="false" ht="15" hidden="false" customHeight="false" outlineLevel="0" collapsed="false">
      <c r="A60" s="18" t="str">
        <f aca="false">IF('Saída da Central'!A28="","",'Saída da Central'!A28)</f>
        <v/>
      </c>
      <c r="B60" s="20" t="str">
        <f aca="false">IF('Saída da Central'!A28="","","Saída Central")</f>
        <v/>
      </c>
      <c r="C60" s="20" t="str">
        <f aca="false">IF('Saída da Central'!A28="","","Central de Distribuição")</f>
        <v/>
      </c>
      <c r="D60" s="20" t="str">
        <f aca="false">IF('Saída da Central'!A28="","",'Saída da Central'!F28)</f>
        <v/>
      </c>
      <c r="E60" s="20" t="str">
        <f aca="false">IF('Saída da Central'!A28="","",'Saída da Central'!C28)</f>
        <v/>
      </c>
      <c r="F60" s="20" t="str">
        <f aca="false">IF('Saída da Central'!A28="","",'Saída da Central'!D28)</f>
        <v/>
      </c>
      <c r="G60" s="20" t="str">
        <f aca="false">IF('Saída da Central'!A28="","",'Saída da Central'!G28)</f>
        <v/>
      </c>
      <c r="H60" s="20" t="str">
        <f aca="false">IF('Saída da Central'!A28="","",'Saída da Central'!E28)</f>
        <v/>
      </c>
      <c r="I60" s="20" t="str">
        <f aca="false">IF('Saída da Central'!A28="","",'Saída da Central'!B28)</f>
        <v/>
      </c>
      <c r="J60" s="20" t="str">
        <f aca="false">IF('Saída da Central'!A28="","",'Saída da Central'!I28&amp;"")</f>
        <v/>
      </c>
      <c r="K60" s="20" t="str">
        <f aca="false">IF('Saída da Central'!A28="","",'Saída da Central'!J28&amp;"")</f>
        <v/>
      </c>
    </row>
    <row r="61" customFormat="false" ht="15" hidden="false" customHeight="false" outlineLevel="0" collapsed="false">
      <c r="A61" s="18" t="str">
        <f aca="false">IF('Saída da Central'!A29="","",'Saída da Central'!A29)</f>
        <v/>
      </c>
      <c r="B61" s="20" t="str">
        <f aca="false">IF('Saída da Central'!A29="","","Saída Central")</f>
        <v/>
      </c>
      <c r="C61" s="20" t="str">
        <f aca="false">IF('Saída da Central'!A29="","","Central de Distribuição")</f>
        <v/>
      </c>
      <c r="D61" s="20" t="str">
        <f aca="false">IF('Saída da Central'!A29="","",'Saída da Central'!F29)</f>
        <v/>
      </c>
      <c r="E61" s="20" t="str">
        <f aca="false">IF('Saída da Central'!A29="","",'Saída da Central'!C29)</f>
        <v/>
      </c>
      <c r="F61" s="20" t="str">
        <f aca="false">IF('Saída da Central'!A29="","",'Saída da Central'!D29)</f>
        <v/>
      </c>
      <c r="G61" s="20" t="str">
        <f aca="false">IF('Saída da Central'!A29="","",'Saída da Central'!G29)</f>
        <v/>
      </c>
      <c r="H61" s="20" t="str">
        <f aca="false">IF('Saída da Central'!A29="","",'Saída da Central'!E29)</f>
        <v/>
      </c>
      <c r="I61" s="20" t="str">
        <f aca="false">IF('Saída da Central'!A29="","",'Saída da Central'!B29)</f>
        <v/>
      </c>
      <c r="J61" s="20" t="str">
        <f aca="false">IF('Saída da Central'!A29="","",'Saída da Central'!I29&amp;"")</f>
        <v/>
      </c>
      <c r="K61" s="20" t="str">
        <f aca="false">IF('Saída da Central'!A29="","",'Saída da Central'!J29&amp;"")</f>
        <v/>
      </c>
    </row>
    <row r="62" customFormat="false" ht="15" hidden="false" customHeight="false" outlineLevel="0" collapsed="false">
      <c r="A62" s="18" t="str">
        <f aca="false">IF('Saída da Central'!A30="","",'Saída da Central'!A30)</f>
        <v/>
      </c>
      <c r="B62" s="20" t="str">
        <f aca="false">IF('Saída da Central'!A30="","","Saída Central")</f>
        <v/>
      </c>
      <c r="C62" s="20" t="str">
        <f aca="false">IF('Saída da Central'!A30="","","Central de Distribuição")</f>
        <v/>
      </c>
      <c r="D62" s="20" t="str">
        <f aca="false">IF('Saída da Central'!A30="","",'Saída da Central'!F30)</f>
        <v/>
      </c>
      <c r="E62" s="20" t="str">
        <f aca="false">IF('Saída da Central'!A30="","",'Saída da Central'!C30)</f>
        <v/>
      </c>
      <c r="F62" s="20" t="str">
        <f aca="false">IF('Saída da Central'!A30="","",'Saída da Central'!D30)</f>
        <v/>
      </c>
      <c r="G62" s="20" t="str">
        <f aca="false">IF('Saída da Central'!A30="","",'Saída da Central'!G30)</f>
        <v/>
      </c>
      <c r="H62" s="20" t="str">
        <f aca="false">IF('Saída da Central'!A30="","",'Saída da Central'!E30)</f>
        <v/>
      </c>
      <c r="I62" s="20" t="str">
        <f aca="false">IF('Saída da Central'!A30="","",'Saída da Central'!B30)</f>
        <v/>
      </c>
      <c r="J62" s="20" t="str">
        <f aca="false">IF('Saída da Central'!A30="","",'Saída da Central'!I30&amp;"")</f>
        <v/>
      </c>
      <c r="K62" s="20" t="str">
        <f aca="false">IF('Saída da Central'!A30="","",'Saída da Central'!J30&amp;"")</f>
        <v/>
      </c>
    </row>
    <row r="63" customFormat="false" ht="15" hidden="false" customHeight="false" outlineLevel="0" collapsed="false">
      <c r="A63" s="18" t="str">
        <f aca="false">IF('Saída da Central'!A31="","",'Saída da Central'!A31)</f>
        <v/>
      </c>
      <c r="B63" s="20" t="str">
        <f aca="false">IF('Saída da Central'!A31="","","Saída Central")</f>
        <v/>
      </c>
      <c r="C63" s="20" t="str">
        <f aca="false">IF('Saída da Central'!A31="","","Central de Distribuição")</f>
        <v/>
      </c>
      <c r="D63" s="20" t="str">
        <f aca="false">IF('Saída da Central'!A31="","",'Saída da Central'!F31)</f>
        <v/>
      </c>
      <c r="E63" s="20" t="str">
        <f aca="false">IF('Saída da Central'!A31="","",'Saída da Central'!C31)</f>
        <v/>
      </c>
      <c r="F63" s="20" t="str">
        <f aca="false">IF('Saída da Central'!A31="","",'Saída da Central'!D31)</f>
        <v/>
      </c>
      <c r="G63" s="20" t="str">
        <f aca="false">IF('Saída da Central'!A31="","",'Saída da Central'!G31)</f>
        <v/>
      </c>
      <c r="H63" s="20" t="str">
        <f aca="false">IF('Saída da Central'!A31="","",'Saída da Central'!E31)</f>
        <v/>
      </c>
      <c r="I63" s="20" t="str">
        <f aca="false">IF('Saída da Central'!A31="","",'Saída da Central'!B31)</f>
        <v/>
      </c>
      <c r="J63" s="20" t="str">
        <f aca="false">IF('Saída da Central'!A31="","",'Saída da Central'!I31&amp;"")</f>
        <v/>
      </c>
      <c r="K63" s="20" t="str">
        <f aca="false">IF('Saída da Central'!A31="","",'Saída da Central'!J31&amp;"")</f>
        <v/>
      </c>
    </row>
    <row r="64" customFormat="false" ht="15" hidden="false" customHeight="false" outlineLevel="0" collapsed="false">
      <c r="A64" s="19" t="s">
        <v>195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customFormat="false" ht="15" hidden="false" customHeight="false" outlineLevel="0" collapsed="false">
      <c r="A65" s="18" t="n">
        <f aca="false">IF('Produção de Fracionados'!A2="","",'Produção de Fracionados'!A2)</f>
        <v>46209</v>
      </c>
      <c r="B65" s="20" t="str">
        <f aca="false">IF('Produção de Fracionados'!A2="","","Produção (Consumo de Bruto)")</f>
        <v>Produção (Consumo de Bruto)</v>
      </c>
      <c r="C65" s="20" t="str">
        <f aca="false">IF('Produção de Fracionados'!A2="","","Cozinha de Produção de Fracionados")</f>
        <v>Cozinha de Produção de Fracionados</v>
      </c>
      <c r="D65" s="20" t="str">
        <f aca="false">IF('Produção de Fracionados'!A2="","",'Produção de Fracionados'!D2)</f>
        <v>Salmão Fatiado para Sushi</v>
      </c>
      <c r="E65" s="20" t="str">
        <f aca="false">IF('Produção de Fracionados'!A2="","",'Produção de Fracionados'!E2)</f>
        <v>BR-001</v>
      </c>
      <c r="F65" s="20" t="str">
        <f aca="false">IF('Produção de Fracionados'!A2="","",'Produção de Fracionados'!F2)</f>
        <v>Salmão Fresco</v>
      </c>
      <c r="G65" s="16" t="n">
        <f aca="false">IF('Produção de Fracionados'!A2="","",'Produção de Fracionados'!G2)</f>
        <v>20</v>
      </c>
      <c r="H65" s="20" t="str">
        <f aca="false">IF('Produção de Fracionados'!A2="","",'Produção de Fracionados'!H2)</f>
        <v>KG</v>
      </c>
      <c r="I65" s="20" t="str">
        <f aca="false">IF('Produção de Fracionados'!A2="","",'Produção de Fracionados'!B2)</f>
        <v>LP-001</v>
      </c>
      <c r="J65" s="20" t="str">
        <f aca="false">IF('Produção de Fracionados'!A2="","",'Produção de Fracionados'!J2&amp;"")</f>
        <v>Igor Morgado</v>
      </c>
      <c r="K65" s="20" t="str">
        <f aca="false">IF('Produção de Fracionados'!A2="","",'Produção de Fracionados'!K2&amp;"")</f>
        <v>Fatiamento de salmão</v>
      </c>
    </row>
    <row r="66" customFormat="false" ht="15" hidden="false" customHeight="false" outlineLevel="0" collapsed="false">
      <c r="A66" s="18" t="n">
        <f aca="false">IF('Produção de Fracionados'!A3="","",'Produção de Fracionados'!A3)</f>
        <v>46209</v>
      </c>
      <c r="B66" s="20" t="str">
        <f aca="false">IF('Produção de Fracionados'!A3="","","Produção (Consumo de Bruto)")</f>
        <v>Produção (Consumo de Bruto)</v>
      </c>
      <c r="C66" s="20" t="str">
        <f aca="false">IF('Produção de Fracionados'!A3="","","Cozinha de Produção de Fracionados")</f>
        <v>Cozinha de Produção de Fracionados</v>
      </c>
      <c r="D66" s="20" t="str">
        <f aca="false">IF('Produção de Fracionados'!A3="","",'Produção de Fracionados'!D3)</f>
        <v>Arroz Temperado para Sushi</v>
      </c>
      <c r="E66" s="20" t="str">
        <f aca="false">IF('Produção de Fracionados'!A3="","",'Produção de Fracionados'!E3)</f>
        <v>BR-002</v>
      </c>
      <c r="F66" s="20" t="str">
        <f aca="false">IF('Produção de Fracionados'!A3="","",'Produção de Fracionados'!F3)</f>
        <v>Arroz Japonês</v>
      </c>
      <c r="G66" s="16" t="n">
        <f aca="false">IF('Produção de Fracionados'!A3="","",'Produção de Fracionados'!G3)</f>
        <v>18</v>
      </c>
      <c r="H66" s="20" t="str">
        <f aca="false">IF('Produção de Fracionados'!A3="","",'Produção de Fracionados'!H3)</f>
        <v>KG</v>
      </c>
      <c r="I66" s="20" t="str">
        <f aca="false">IF('Produção de Fracionados'!A3="","",'Produção de Fracionados'!B3)</f>
        <v>LP-002</v>
      </c>
      <c r="J66" s="20" t="str">
        <f aca="false">IF('Produção de Fracionados'!A3="","",'Produção de Fracionados'!J3&amp;"")</f>
        <v>Igor Morgado</v>
      </c>
      <c r="K66" s="20" t="str">
        <f aca="false">IF('Produção de Fracionados'!A3="","",'Produção de Fracionados'!K3&amp;"")</f>
        <v>Cozimento e tempero do arroz</v>
      </c>
    </row>
    <row r="67" customFormat="false" ht="15" hidden="false" customHeight="false" outlineLevel="0" collapsed="false">
      <c r="A67" s="18" t="n">
        <f aca="false">IF('Produção de Fracionados'!A4="","",'Produção de Fracionados'!A4)</f>
        <v>46209</v>
      </c>
      <c r="B67" s="20" t="str">
        <f aca="false">IF('Produção de Fracionados'!A4="","","Produção (Consumo de Bruto)")</f>
        <v>Produção (Consumo de Bruto)</v>
      </c>
      <c r="C67" s="20" t="str">
        <f aca="false">IF('Produção de Fracionados'!A4="","","Cozinha de Produção de Fracionados")</f>
        <v>Cozinha de Produção de Fracionados</v>
      </c>
      <c r="D67" s="20" t="str">
        <f aca="false">IF('Produção de Fracionados'!A4="","",'Produção de Fracionados'!D4)</f>
        <v>Alface Higienizada e Cortada</v>
      </c>
      <c r="E67" s="20" t="str">
        <f aca="false">IF('Produção de Fracionados'!A4="","",'Produção de Fracionados'!E4)</f>
        <v>BR-003</v>
      </c>
      <c r="F67" s="20" t="str">
        <f aca="false">IF('Produção de Fracionados'!A4="","",'Produção de Fracionados'!F4)</f>
        <v>Alface Americana</v>
      </c>
      <c r="G67" s="16" t="n">
        <f aca="false">IF('Produção de Fracionados'!A4="","",'Produção de Fracionados'!G4)</f>
        <v>10</v>
      </c>
      <c r="H67" s="20" t="str">
        <f aca="false">IF('Produção de Fracionados'!A4="","",'Produção de Fracionados'!H4)</f>
        <v>UN</v>
      </c>
      <c r="I67" s="20" t="str">
        <f aca="false">IF('Produção de Fracionados'!A4="","",'Produção de Fracionados'!B4)</f>
        <v>LP-003</v>
      </c>
      <c r="J67" s="20" t="str">
        <f aca="false">IF('Produção de Fracionados'!A4="","",'Produção de Fracionados'!J4&amp;"")</f>
        <v>Igor Morgado</v>
      </c>
      <c r="K67" s="20" t="str">
        <f aca="false">IF('Produção de Fracionados'!A4="","",'Produção de Fracionados'!K4&amp;"")</f>
        <v>Higienização e corte da alface</v>
      </c>
    </row>
    <row r="68" customFormat="false" ht="15" hidden="false" customHeight="false" outlineLevel="0" collapsed="false">
      <c r="A68" s="18" t="n">
        <f aca="false">IF('Produção de Fracionados'!A5="","",'Produção de Fracionados'!A5)</f>
        <v>46209</v>
      </c>
      <c r="B68" s="20" t="str">
        <f aca="false">IF('Produção de Fracionados'!A5="","","Produção (Consumo de Bruto)")</f>
        <v>Produção (Consumo de Bruto)</v>
      </c>
      <c r="C68" s="20" t="str">
        <f aca="false">IF('Produção de Fracionados'!A5="","","Cozinha de Produção de Fracionados")</f>
        <v>Cozinha de Produção de Fracionados</v>
      </c>
      <c r="D68" s="20" t="str">
        <f aca="false">IF('Produção de Fracionados'!A5="","",'Produção de Fracionados'!D5)</f>
        <v>Tomate Picado</v>
      </c>
      <c r="E68" s="20" t="str">
        <f aca="false">IF('Produção de Fracionados'!A5="","",'Produção de Fracionados'!E5)</f>
        <v>BR-005</v>
      </c>
      <c r="F68" s="20" t="str">
        <f aca="false">IF('Produção de Fracionados'!A5="","",'Produção de Fracionados'!F5)</f>
        <v>Tomate</v>
      </c>
      <c r="G68" s="16" t="n">
        <f aca="false">IF('Produção de Fracionados'!A5="","",'Produção de Fracionados'!G5)</f>
        <v>12</v>
      </c>
      <c r="H68" s="20" t="str">
        <f aca="false">IF('Produção de Fracionados'!A5="","",'Produção de Fracionados'!H5)</f>
        <v>KG</v>
      </c>
      <c r="I68" s="20" t="str">
        <f aca="false">IF('Produção de Fracionados'!A5="","",'Produção de Fracionados'!B5)</f>
        <v>LP-004</v>
      </c>
      <c r="J68" s="20" t="str">
        <f aca="false">IF('Produção de Fracionados'!A5="","",'Produção de Fracionados'!J5&amp;"")</f>
        <v>Igor Morgado</v>
      </c>
      <c r="K68" s="20" t="str">
        <f aca="false">IF('Produção de Fracionados'!A5="","",'Produção de Fracionados'!K5&amp;"")</f>
        <v>Corte do tomate</v>
      </c>
    </row>
    <row r="69" customFormat="false" ht="15" hidden="false" customHeight="false" outlineLevel="0" collapsed="false">
      <c r="A69" s="18" t="str">
        <f aca="false">IF('Produção de Fracionados'!A6="","",'Produção de Fracionados'!A6)</f>
        <v/>
      </c>
      <c r="B69" s="20" t="str">
        <f aca="false">IF('Produção de Fracionados'!A6="","","Produção (Consumo de Bruto)")</f>
        <v/>
      </c>
      <c r="C69" s="20" t="str">
        <f aca="false">IF('Produção de Fracionados'!A6="","","Cozinha de Produção de Fracionados")</f>
        <v/>
      </c>
      <c r="D69" s="20" t="str">
        <f aca="false">IF('Produção de Fracionados'!A6="","",'Produção de Fracionados'!D6)</f>
        <v/>
      </c>
      <c r="E69" s="20" t="str">
        <f aca="false">IF('Produção de Fracionados'!A6="","",'Produção de Fracionados'!E6)</f>
        <v/>
      </c>
      <c r="F69" s="20" t="str">
        <f aca="false">IF('Produção de Fracionados'!A6="","",'Produção de Fracionados'!F6)</f>
        <v/>
      </c>
      <c r="G69" s="20" t="str">
        <f aca="false">IF('Produção de Fracionados'!A6="","",'Produção de Fracionados'!G6)</f>
        <v/>
      </c>
      <c r="H69" s="20" t="str">
        <f aca="false">IF('Produção de Fracionados'!A6="","",'Produção de Fracionados'!H6)</f>
        <v/>
      </c>
      <c r="I69" s="20" t="str">
        <f aca="false">IF('Produção de Fracionados'!A6="","",'Produção de Fracionados'!B6)</f>
        <v/>
      </c>
      <c r="J69" s="20" t="str">
        <f aca="false">IF('Produção de Fracionados'!A6="","",'Produção de Fracionados'!J6&amp;"")</f>
        <v/>
      </c>
      <c r="K69" s="20" t="str">
        <f aca="false">IF('Produção de Fracionados'!A6="","",'Produção de Fracionados'!K6&amp;"")</f>
        <v/>
      </c>
    </row>
    <row r="70" customFormat="false" ht="15" hidden="false" customHeight="false" outlineLevel="0" collapsed="false">
      <c r="A70" s="18" t="str">
        <f aca="false">IF('Produção de Fracionados'!A7="","",'Produção de Fracionados'!A7)</f>
        <v/>
      </c>
      <c r="B70" s="20" t="str">
        <f aca="false">IF('Produção de Fracionados'!A7="","","Produção (Consumo de Bruto)")</f>
        <v/>
      </c>
      <c r="C70" s="20" t="str">
        <f aca="false">IF('Produção de Fracionados'!A7="","","Cozinha de Produção de Fracionados")</f>
        <v/>
      </c>
      <c r="D70" s="20" t="str">
        <f aca="false">IF('Produção de Fracionados'!A7="","",'Produção de Fracionados'!D7)</f>
        <v/>
      </c>
      <c r="E70" s="20" t="str">
        <f aca="false">IF('Produção de Fracionados'!A7="","",'Produção de Fracionados'!E7)</f>
        <v/>
      </c>
      <c r="F70" s="20" t="str">
        <f aca="false">IF('Produção de Fracionados'!A7="","",'Produção de Fracionados'!F7)</f>
        <v/>
      </c>
      <c r="G70" s="20" t="str">
        <f aca="false">IF('Produção de Fracionados'!A7="","",'Produção de Fracionados'!G7)</f>
        <v/>
      </c>
      <c r="H70" s="20" t="str">
        <f aca="false">IF('Produção de Fracionados'!A7="","",'Produção de Fracionados'!H7)</f>
        <v/>
      </c>
      <c r="I70" s="20" t="str">
        <f aca="false">IF('Produção de Fracionados'!A7="","",'Produção de Fracionados'!B7)</f>
        <v/>
      </c>
      <c r="J70" s="20" t="str">
        <f aca="false">IF('Produção de Fracionados'!A7="","",'Produção de Fracionados'!J7&amp;"")</f>
        <v/>
      </c>
      <c r="K70" s="20" t="str">
        <f aca="false">IF('Produção de Fracionados'!A7="","",'Produção de Fracionados'!K7&amp;"")</f>
        <v/>
      </c>
    </row>
    <row r="71" customFormat="false" ht="15" hidden="false" customHeight="false" outlineLevel="0" collapsed="false">
      <c r="A71" s="18" t="str">
        <f aca="false">IF('Produção de Fracionados'!A8="","",'Produção de Fracionados'!A8)</f>
        <v/>
      </c>
      <c r="B71" s="20" t="str">
        <f aca="false">IF('Produção de Fracionados'!A8="","","Produção (Consumo de Bruto)")</f>
        <v/>
      </c>
      <c r="C71" s="20" t="str">
        <f aca="false">IF('Produção de Fracionados'!A8="","","Cozinha de Produção de Fracionados")</f>
        <v/>
      </c>
      <c r="D71" s="20" t="str">
        <f aca="false">IF('Produção de Fracionados'!A8="","",'Produção de Fracionados'!D8)</f>
        <v/>
      </c>
      <c r="E71" s="20" t="str">
        <f aca="false">IF('Produção de Fracionados'!A8="","",'Produção de Fracionados'!E8)</f>
        <v/>
      </c>
      <c r="F71" s="20" t="str">
        <f aca="false">IF('Produção de Fracionados'!A8="","",'Produção de Fracionados'!F8)</f>
        <v/>
      </c>
      <c r="G71" s="20" t="str">
        <f aca="false">IF('Produção de Fracionados'!A8="","",'Produção de Fracionados'!G8)</f>
        <v/>
      </c>
      <c r="H71" s="20" t="str">
        <f aca="false">IF('Produção de Fracionados'!A8="","",'Produção de Fracionados'!H8)</f>
        <v/>
      </c>
      <c r="I71" s="20" t="str">
        <f aca="false">IF('Produção de Fracionados'!A8="","",'Produção de Fracionados'!B8)</f>
        <v/>
      </c>
      <c r="J71" s="20" t="str">
        <f aca="false">IF('Produção de Fracionados'!A8="","",'Produção de Fracionados'!J8&amp;"")</f>
        <v/>
      </c>
      <c r="K71" s="20" t="str">
        <f aca="false">IF('Produção de Fracionados'!A8="","",'Produção de Fracionados'!K8&amp;"")</f>
        <v/>
      </c>
    </row>
    <row r="72" customFormat="false" ht="15" hidden="false" customHeight="false" outlineLevel="0" collapsed="false">
      <c r="A72" s="18" t="str">
        <f aca="false">IF('Produção de Fracionados'!A9="","",'Produção de Fracionados'!A9)</f>
        <v/>
      </c>
      <c r="B72" s="20" t="str">
        <f aca="false">IF('Produção de Fracionados'!A9="","","Produção (Consumo de Bruto)")</f>
        <v/>
      </c>
      <c r="C72" s="20" t="str">
        <f aca="false">IF('Produção de Fracionados'!A9="","","Cozinha de Produção de Fracionados")</f>
        <v/>
      </c>
      <c r="D72" s="20" t="str">
        <f aca="false">IF('Produção de Fracionados'!A9="","",'Produção de Fracionados'!D9)</f>
        <v/>
      </c>
      <c r="E72" s="20" t="str">
        <f aca="false">IF('Produção de Fracionados'!A9="","",'Produção de Fracionados'!E9)</f>
        <v/>
      </c>
      <c r="F72" s="20" t="str">
        <f aca="false">IF('Produção de Fracionados'!A9="","",'Produção de Fracionados'!F9)</f>
        <v/>
      </c>
      <c r="G72" s="20" t="str">
        <f aca="false">IF('Produção de Fracionados'!A9="","",'Produção de Fracionados'!G9)</f>
        <v/>
      </c>
      <c r="H72" s="20" t="str">
        <f aca="false">IF('Produção de Fracionados'!A9="","",'Produção de Fracionados'!H9)</f>
        <v/>
      </c>
      <c r="I72" s="20" t="str">
        <f aca="false">IF('Produção de Fracionados'!A9="","",'Produção de Fracionados'!B9)</f>
        <v/>
      </c>
      <c r="J72" s="20" t="str">
        <f aca="false">IF('Produção de Fracionados'!A9="","",'Produção de Fracionados'!J9&amp;"")</f>
        <v/>
      </c>
      <c r="K72" s="20" t="str">
        <f aca="false">IF('Produção de Fracionados'!A9="","",'Produção de Fracionados'!K9&amp;"")</f>
        <v/>
      </c>
    </row>
    <row r="73" customFormat="false" ht="15" hidden="false" customHeight="false" outlineLevel="0" collapsed="false">
      <c r="A73" s="18" t="str">
        <f aca="false">IF('Produção de Fracionados'!A10="","",'Produção de Fracionados'!A10)</f>
        <v/>
      </c>
      <c r="B73" s="20" t="str">
        <f aca="false">IF('Produção de Fracionados'!A10="","","Produção (Consumo de Bruto)")</f>
        <v/>
      </c>
      <c r="C73" s="20" t="str">
        <f aca="false">IF('Produção de Fracionados'!A10="","","Cozinha de Produção de Fracionados")</f>
        <v/>
      </c>
      <c r="D73" s="20" t="str">
        <f aca="false">IF('Produção de Fracionados'!A10="","",'Produção de Fracionados'!D10)</f>
        <v/>
      </c>
      <c r="E73" s="20" t="str">
        <f aca="false">IF('Produção de Fracionados'!A10="","",'Produção de Fracionados'!E10)</f>
        <v/>
      </c>
      <c r="F73" s="20" t="str">
        <f aca="false">IF('Produção de Fracionados'!A10="","",'Produção de Fracionados'!F10)</f>
        <v/>
      </c>
      <c r="G73" s="20" t="str">
        <f aca="false">IF('Produção de Fracionados'!A10="","",'Produção de Fracionados'!G10)</f>
        <v/>
      </c>
      <c r="H73" s="20" t="str">
        <f aca="false">IF('Produção de Fracionados'!A10="","",'Produção de Fracionados'!H10)</f>
        <v/>
      </c>
      <c r="I73" s="20" t="str">
        <f aca="false">IF('Produção de Fracionados'!A10="","",'Produção de Fracionados'!B10)</f>
        <v/>
      </c>
      <c r="J73" s="20" t="str">
        <f aca="false">IF('Produção de Fracionados'!A10="","",'Produção de Fracionados'!J10&amp;"")</f>
        <v/>
      </c>
      <c r="K73" s="20" t="str">
        <f aca="false">IF('Produção de Fracionados'!A10="","",'Produção de Fracionados'!K10&amp;"")</f>
        <v/>
      </c>
    </row>
    <row r="74" customFormat="false" ht="15" hidden="false" customHeight="false" outlineLevel="0" collapsed="false">
      <c r="A74" s="18" t="str">
        <f aca="false">IF('Produção de Fracionados'!A11="","",'Produção de Fracionados'!A11)</f>
        <v/>
      </c>
      <c r="B74" s="20" t="str">
        <f aca="false">IF('Produção de Fracionados'!A11="","","Produção (Consumo de Bruto)")</f>
        <v/>
      </c>
      <c r="C74" s="20" t="str">
        <f aca="false">IF('Produção de Fracionados'!A11="","","Cozinha de Produção de Fracionados")</f>
        <v/>
      </c>
      <c r="D74" s="20" t="str">
        <f aca="false">IF('Produção de Fracionados'!A11="","",'Produção de Fracionados'!D11)</f>
        <v/>
      </c>
      <c r="E74" s="20" t="str">
        <f aca="false">IF('Produção de Fracionados'!A11="","",'Produção de Fracionados'!E11)</f>
        <v/>
      </c>
      <c r="F74" s="20" t="str">
        <f aca="false">IF('Produção de Fracionados'!A11="","",'Produção de Fracionados'!F11)</f>
        <v/>
      </c>
      <c r="G74" s="20" t="str">
        <f aca="false">IF('Produção de Fracionados'!A11="","",'Produção de Fracionados'!G11)</f>
        <v/>
      </c>
      <c r="H74" s="20" t="str">
        <f aca="false">IF('Produção de Fracionados'!A11="","",'Produção de Fracionados'!H11)</f>
        <v/>
      </c>
      <c r="I74" s="20" t="str">
        <f aca="false">IF('Produção de Fracionados'!A11="","",'Produção de Fracionados'!B11)</f>
        <v/>
      </c>
      <c r="J74" s="20" t="str">
        <f aca="false">IF('Produção de Fracionados'!A11="","",'Produção de Fracionados'!J11&amp;"")</f>
        <v/>
      </c>
      <c r="K74" s="20" t="str">
        <f aca="false">IF('Produção de Fracionados'!A11="","",'Produção de Fracionados'!K11&amp;"")</f>
        <v/>
      </c>
    </row>
    <row r="75" customFormat="false" ht="15" hidden="false" customHeight="false" outlineLevel="0" collapsed="false">
      <c r="A75" s="18" t="str">
        <f aca="false">IF('Produção de Fracionados'!A12="","",'Produção de Fracionados'!A12)</f>
        <v/>
      </c>
      <c r="B75" s="20" t="str">
        <f aca="false">IF('Produção de Fracionados'!A12="","","Produção (Consumo de Bruto)")</f>
        <v/>
      </c>
      <c r="C75" s="20" t="str">
        <f aca="false">IF('Produção de Fracionados'!A12="","","Cozinha de Produção de Fracionados")</f>
        <v/>
      </c>
      <c r="D75" s="20" t="str">
        <f aca="false">IF('Produção de Fracionados'!A12="","",'Produção de Fracionados'!D12)</f>
        <v/>
      </c>
      <c r="E75" s="20" t="str">
        <f aca="false">IF('Produção de Fracionados'!A12="","",'Produção de Fracionados'!E12)</f>
        <v/>
      </c>
      <c r="F75" s="20" t="str">
        <f aca="false">IF('Produção de Fracionados'!A12="","",'Produção de Fracionados'!F12)</f>
        <v/>
      </c>
      <c r="G75" s="20" t="str">
        <f aca="false">IF('Produção de Fracionados'!A12="","",'Produção de Fracionados'!G12)</f>
        <v/>
      </c>
      <c r="H75" s="20" t="str">
        <f aca="false">IF('Produção de Fracionados'!A12="","",'Produção de Fracionados'!H12)</f>
        <v/>
      </c>
      <c r="I75" s="20" t="str">
        <f aca="false">IF('Produção de Fracionados'!A12="","",'Produção de Fracionados'!B12)</f>
        <v/>
      </c>
      <c r="J75" s="20" t="str">
        <f aca="false">IF('Produção de Fracionados'!A12="","",'Produção de Fracionados'!J12&amp;"")</f>
        <v/>
      </c>
      <c r="K75" s="20" t="str">
        <f aca="false">IF('Produção de Fracionados'!A12="","",'Produção de Fracionados'!K12&amp;"")</f>
        <v/>
      </c>
    </row>
    <row r="76" customFormat="false" ht="15" hidden="false" customHeight="false" outlineLevel="0" collapsed="false">
      <c r="A76" s="18" t="str">
        <f aca="false">IF('Produção de Fracionados'!A13="","",'Produção de Fracionados'!A13)</f>
        <v/>
      </c>
      <c r="B76" s="20" t="str">
        <f aca="false">IF('Produção de Fracionados'!A13="","","Produção (Consumo de Bruto)")</f>
        <v/>
      </c>
      <c r="C76" s="20" t="str">
        <f aca="false">IF('Produção de Fracionados'!A13="","","Cozinha de Produção de Fracionados")</f>
        <v/>
      </c>
      <c r="D76" s="20" t="str">
        <f aca="false">IF('Produção de Fracionados'!A13="","",'Produção de Fracionados'!D13)</f>
        <v/>
      </c>
      <c r="E76" s="20" t="str">
        <f aca="false">IF('Produção de Fracionados'!A13="","",'Produção de Fracionados'!E13)</f>
        <v/>
      </c>
      <c r="F76" s="20" t="str">
        <f aca="false">IF('Produção de Fracionados'!A13="","",'Produção de Fracionados'!F13)</f>
        <v/>
      </c>
      <c r="G76" s="20" t="str">
        <f aca="false">IF('Produção de Fracionados'!A13="","",'Produção de Fracionados'!G13)</f>
        <v/>
      </c>
      <c r="H76" s="20" t="str">
        <f aca="false">IF('Produção de Fracionados'!A13="","",'Produção de Fracionados'!H13)</f>
        <v/>
      </c>
      <c r="I76" s="20" t="str">
        <f aca="false">IF('Produção de Fracionados'!A13="","",'Produção de Fracionados'!B13)</f>
        <v/>
      </c>
      <c r="J76" s="20" t="str">
        <f aca="false">IF('Produção de Fracionados'!A13="","",'Produção de Fracionados'!J13&amp;"")</f>
        <v/>
      </c>
      <c r="K76" s="20" t="str">
        <f aca="false">IF('Produção de Fracionados'!A13="","",'Produção de Fracionados'!K13&amp;"")</f>
        <v/>
      </c>
    </row>
    <row r="77" customFormat="false" ht="15" hidden="false" customHeight="false" outlineLevel="0" collapsed="false">
      <c r="A77" s="18" t="str">
        <f aca="false">IF('Produção de Fracionados'!A14="","",'Produção de Fracionados'!A14)</f>
        <v/>
      </c>
      <c r="B77" s="20" t="str">
        <f aca="false">IF('Produção de Fracionados'!A14="","","Produção (Consumo de Bruto)")</f>
        <v/>
      </c>
      <c r="C77" s="20" t="str">
        <f aca="false">IF('Produção de Fracionados'!A14="","","Cozinha de Produção de Fracionados")</f>
        <v/>
      </c>
      <c r="D77" s="20" t="str">
        <f aca="false">IF('Produção de Fracionados'!A14="","",'Produção de Fracionados'!D14)</f>
        <v/>
      </c>
      <c r="E77" s="20" t="str">
        <f aca="false">IF('Produção de Fracionados'!A14="","",'Produção de Fracionados'!E14)</f>
        <v/>
      </c>
      <c r="F77" s="20" t="str">
        <f aca="false">IF('Produção de Fracionados'!A14="","",'Produção de Fracionados'!F14)</f>
        <v/>
      </c>
      <c r="G77" s="20" t="str">
        <f aca="false">IF('Produção de Fracionados'!A14="","",'Produção de Fracionados'!G14)</f>
        <v/>
      </c>
      <c r="H77" s="20" t="str">
        <f aca="false">IF('Produção de Fracionados'!A14="","",'Produção de Fracionados'!H14)</f>
        <v/>
      </c>
      <c r="I77" s="20" t="str">
        <f aca="false">IF('Produção de Fracionados'!A14="","",'Produção de Fracionados'!B14)</f>
        <v/>
      </c>
      <c r="J77" s="20" t="str">
        <f aca="false">IF('Produção de Fracionados'!A14="","",'Produção de Fracionados'!J14&amp;"")</f>
        <v/>
      </c>
      <c r="K77" s="20" t="str">
        <f aca="false">IF('Produção de Fracionados'!A14="","",'Produção de Fracionados'!K14&amp;"")</f>
        <v/>
      </c>
    </row>
    <row r="78" customFormat="false" ht="15" hidden="false" customHeight="false" outlineLevel="0" collapsed="false">
      <c r="A78" s="18" t="str">
        <f aca="false">IF('Produção de Fracionados'!A15="","",'Produção de Fracionados'!A15)</f>
        <v/>
      </c>
      <c r="B78" s="20" t="str">
        <f aca="false">IF('Produção de Fracionados'!A15="","","Produção (Consumo de Bruto)")</f>
        <v/>
      </c>
      <c r="C78" s="20" t="str">
        <f aca="false">IF('Produção de Fracionados'!A15="","","Cozinha de Produção de Fracionados")</f>
        <v/>
      </c>
      <c r="D78" s="20" t="str">
        <f aca="false">IF('Produção de Fracionados'!A15="","",'Produção de Fracionados'!D15)</f>
        <v/>
      </c>
      <c r="E78" s="20" t="str">
        <f aca="false">IF('Produção de Fracionados'!A15="","",'Produção de Fracionados'!E15)</f>
        <v/>
      </c>
      <c r="F78" s="20" t="str">
        <f aca="false">IF('Produção de Fracionados'!A15="","",'Produção de Fracionados'!F15)</f>
        <v/>
      </c>
      <c r="G78" s="20" t="str">
        <f aca="false">IF('Produção de Fracionados'!A15="","",'Produção de Fracionados'!G15)</f>
        <v/>
      </c>
      <c r="H78" s="20" t="str">
        <f aca="false">IF('Produção de Fracionados'!A15="","",'Produção de Fracionados'!H15)</f>
        <v/>
      </c>
      <c r="I78" s="20" t="str">
        <f aca="false">IF('Produção de Fracionados'!A15="","",'Produção de Fracionados'!B15)</f>
        <v/>
      </c>
      <c r="J78" s="20" t="str">
        <f aca="false">IF('Produção de Fracionados'!A15="","",'Produção de Fracionados'!J15&amp;"")</f>
        <v/>
      </c>
      <c r="K78" s="20" t="str">
        <f aca="false">IF('Produção de Fracionados'!A15="","",'Produção de Fracionados'!K15&amp;"")</f>
        <v/>
      </c>
    </row>
    <row r="79" customFormat="false" ht="15" hidden="false" customHeight="false" outlineLevel="0" collapsed="false">
      <c r="A79" s="18" t="str">
        <f aca="false">IF('Produção de Fracionados'!A16="","",'Produção de Fracionados'!A16)</f>
        <v/>
      </c>
      <c r="B79" s="20" t="str">
        <f aca="false">IF('Produção de Fracionados'!A16="","","Produção (Consumo de Bruto)")</f>
        <v/>
      </c>
      <c r="C79" s="20" t="str">
        <f aca="false">IF('Produção de Fracionados'!A16="","","Cozinha de Produção de Fracionados")</f>
        <v/>
      </c>
      <c r="D79" s="20" t="str">
        <f aca="false">IF('Produção de Fracionados'!A16="","",'Produção de Fracionados'!D16)</f>
        <v/>
      </c>
      <c r="E79" s="20" t="str">
        <f aca="false">IF('Produção de Fracionados'!A16="","",'Produção de Fracionados'!E16)</f>
        <v/>
      </c>
      <c r="F79" s="20" t="str">
        <f aca="false">IF('Produção de Fracionados'!A16="","",'Produção de Fracionados'!F16)</f>
        <v/>
      </c>
      <c r="G79" s="20" t="str">
        <f aca="false">IF('Produção de Fracionados'!A16="","",'Produção de Fracionados'!G16)</f>
        <v/>
      </c>
      <c r="H79" s="20" t="str">
        <f aca="false">IF('Produção de Fracionados'!A16="","",'Produção de Fracionados'!H16)</f>
        <v/>
      </c>
      <c r="I79" s="20" t="str">
        <f aca="false">IF('Produção de Fracionados'!A16="","",'Produção de Fracionados'!B16)</f>
        <v/>
      </c>
      <c r="J79" s="20" t="str">
        <f aca="false">IF('Produção de Fracionados'!A16="","",'Produção de Fracionados'!J16&amp;"")</f>
        <v/>
      </c>
      <c r="K79" s="20" t="str">
        <f aca="false">IF('Produção de Fracionados'!A16="","",'Produção de Fracionados'!K16&amp;"")</f>
        <v/>
      </c>
    </row>
    <row r="80" customFormat="false" ht="15" hidden="false" customHeight="false" outlineLevel="0" collapsed="false">
      <c r="A80" s="18" t="str">
        <f aca="false">IF('Produção de Fracionados'!A17="","",'Produção de Fracionados'!A17)</f>
        <v/>
      </c>
      <c r="B80" s="20" t="str">
        <f aca="false">IF('Produção de Fracionados'!A17="","","Produção (Consumo de Bruto)")</f>
        <v/>
      </c>
      <c r="C80" s="20" t="str">
        <f aca="false">IF('Produção de Fracionados'!A17="","","Cozinha de Produção de Fracionados")</f>
        <v/>
      </c>
      <c r="D80" s="20" t="str">
        <f aca="false">IF('Produção de Fracionados'!A17="","",'Produção de Fracionados'!D17)</f>
        <v/>
      </c>
      <c r="E80" s="20" t="str">
        <f aca="false">IF('Produção de Fracionados'!A17="","",'Produção de Fracionados'!E17)</f>
        <v/>
      </c>
      <c r="F80" s="20" t="str">
        <f aca="false">IF('Produção de Fracionados'!A17="","",'Produção de Fracionados'!F17)</f>
        <v/>
      </c>
      <c r="G80" s="20" t="str">
        <f aca="false">IF('Produção de Fracionados'!A17="","",'Produção de Fracionados'!G17)</f>
        <v/>
      </c>
      <c r="H80" s="20" t="str">
        <f aca="false">IF('Produção de Fracionados'!A17="","",'Produção de Fracionados'!H17)</f>
        <v/>
      </c>
      <c r="I80" s="20" t="str">
        <f aca="false">IF('Produção de Fracionados'!A17="","",'Produção de Fracionados'!B17)</f>
        <v/>
      </c>
      <c r="J80" s="20" t="str">
        <f aca="false">IF('Produção de Fracionados'!A17="","",'Produção de Fracionados'!J17&amp;"")</f>
        <v/>
      </c>
      <c r="K80" s="20" t="str">
        <f aca="false">IF('Produção de Fracionados'!A17="","",'Produção de Fracionados'!K17&amp;"")</f>
        <v/>
      </c>
    </row>
    <row r="81" customFormat="false" ht="15" hidden="false" customHeight="false" outlineLevel="0" collapsed="false">
      <c r="A81" s="18" t="str">
        <f aca="false">IF('Produção de Fracionados'!A18="","",'Produção de Fracionados'!A18)</f>
        <v/>
      </c>
      <c r="B81" s="20" t="str">
        <f aca="false">IF('Produção de Fracionados'!A18="","","Produção (Consumo de Bruto)")</f>
        <v/>
      </c>
      <c r="C81" s="20" t="str">
        <f aca="false">IF('Produção de Fracionados'!A18="","","Cozinha de Produção de Fracionados")</f>
        <v/>
      </c>
      <c r="D81" s="20" t="str">
        <f aca="false">IF('Produção de Fracionados'!A18="","",'Produção de Fracionados'!D18)</f>
        <v/>
      </c>
      <c r="E81" s="20" t="str">
        <f aca="false">IF('Produção de Fracionados'!A18="","",'Produção de Fracionados'!E18)</f>
        <v/>
      </c>
      <c r="F81" s="20" t="str">
        <f aca="false">IF('Produção de Fracionados'!A18="","",'Produção de Fracionados'!F18)</f>
        <v/>
      </c>
      <c r="G81" s="20" t="str">
        <f aca="false">IF('Produção de Fracionados'!A18="","",'Produção de Fracionados'!G18)</f>
        <v/>
      </c>
      <c r="H81" s="20" t="str">
        <f aca="false">IF('Produção de Fracionados'!A18="","",'Produção de Fracionados'!H18)</f>
        <v/>
      </c>
      <c r="I81" s="20" t="str">
        <f aca="false">IF('Produção de Fracionados'!A18="","",'Produção de Fracionados'!B18)</f>
        <v/>
      </c>
      <c r="J81" s="20" t="str">
        <f aca="false">IF('Produção de Fracionados'!A18="","",'Produção de Fracionados'!J18&amp;"")</f>
        <v/>
      </c>
      <c r="K81" s="20" t="str">
        <f aca="false">IF('Produção de Fracionados'!A18="","",'Produção de Fracionados'!K18&amp;"")</f>
        <v/>
      </c>
    </row>
    <row r="82" customFormat="false" ht="15" hidden="false" customHeight="false" outlineLevel="0" collapsed="false">
      <c r="A82" s="18" t="str">
        <f aca="false">IF('Produção de Fracionados'!A19="","",'Produção de Fracionados'!A19)</f>
        <v/>
      </c>
      <c r="B82" s="20" t="str">
        <f aca="false">IF('Produção de Fracionados'!A19="","","Produção (Consumo de Bruto)")</f>
        <v/>
      </c>
      <c r="C82" s="20" t="str">
        <f aca="false">IF('Produção de Fracionados'!A19="","","Cozinha de Produção de Fracionados")</f>
        <v/>
      </c>
      <c r="D82" s="20" t="str">
        <f aca="false">IF('Produção de Fracionados'!A19="","",'Produção de Fracionados'!D19)</f>
        <v/>
      </c>
      <c r="E82" s="20" t="str">
        <f aca="false">IF('Produção de Fracionados'!A19="","",'Produção de Fracionados'!E19)</f>
        <v/>
      </c>
      <c r="F82" s="20" t="str">
        <f aca="false">IF('Produção de Fracionados'!A19="","",'Produção de Fracionados'!F19)</f>
        <v/>
      </c>
      <c r="G82" s="20" t="str">
        <f aca="false">IF('Produção de Fracionados'!A19="","",'Produção de Fracionados'!G19)</f>
        <v/>
      </c>
      <c r="H82" s="20" t="str">
        <f aca="false">IF('Produção de Fracionados'!A19="","",'Produção de Fracionados'!H19)</f>
        <v/>
      </c>
      <c r="I82" s="20" t="str">
        <f aca="false">IF('Produção de Fracionados'!A19="","",'Produção de Fracionados'!B19)</f>
        <v/>
      </c>
      <c r="J82" s="20" t="str">
        <f aca="false">IF('Produção de Fracionados'!A19="","",'Produção de Fracionados'!J19&amp;"")</f>
        <v/>
      </c>
      <c r="K82" s="20" t="str">
        <f aca="false">IF('Produção de Fracionados'!A19="","",'Produção de Fracionados'!K19&amp;"")</f>
        <v/>
      </c>
    </row>
    <row r="83" customFormat="false" ht="15" hidden="false" customHeight="false" outlineLevel="0" collapsed="false">
      <c r="A83" s="18" t="str">
        <f aca="false">IF('Produção de Fracionados'!A20="","",'Produção de Fracionados'!A20)</f>
        <v/>
      </c>
      <c r="B83" s="20" t="str">
        <f aca="false">IF('Produção de Fracionados'!A20="","","Produção (Consumo de Bruto)")</f>
        <v/>
      </c>
      <c r="C83" s="20" t="str">
        <f aca="false">IF('Produção de Fracionados'!A20="","","Cozinha de Produção de Fracionados")</f>
        <v/>
      </c>
      <c r="D83" s="20" t="str">
        <f aca="false">IF('Produção de Fracionados'!A20="","",'Produção de Fracionados'!D20)</f>
        <v/>
      </c>
      <c r="E83" s="20" t="str">
        <f aca="false">IF('Produção de Fracionados'!A20="","",'Produção de Fracionados'!E20)</f>
        <v/>
      </c>
      <c r="F83" s="20" t="str">
        <f aca="false">IF('Produção de Fracionados'!A20="","",'Produção de Fracionados'!F20)</f>
        <v/>
      </c>
      <c r="G83" s="20" t="str">
        <f aca="false">IF('Produção de Fracionados'!A20="","",'Produção de Fracionados'!G20)</f>
        <v/>
      </c>
      <c r="H83" s="20" t="str">
        <f aca="false">IF('Produção de Fracionados'!A20="","",'Produção de Fracionados'!H20)</f>
        <v/>
      </c>
      <c r="I83" s="20" t="str">
        <f aca="false">IF('Produção de Fracionados'!A20="","",'Produção de Fracionados'!B20)</f>
        <v/>
      </c>
      <c r="J83" s="20" t="str">
        <f aca="false">IF('Produção de Fracionados'!A20="","",'Produção de Fracionados'!J20&amp;"")</f>
        <v/>
      </c>
      <c r="K83" s="20" t="str">
        <f aca="false">IF('Produção de Fracionados'!A20="","",'Produção de Fracionados'!K20&amp;"")</f>
        <v/>
      </c>
    </row>
    <row r="84" customFormat="false" ht="15" hidden="false" customHeight="false" outlineLevel="0" collapsed="false">
      <c r="A84" s="18" t="str">
        <f aca="false">IF('Produção de Fracionados'!A21="","",'Produção de Fracionados'!A21)</f>
        <v/>
      </c>
      <c r="B84" s="20" t="str">
        <f aca="false">IF('Produção de Fracionados'!A21="","","Produção (Consumo de Bruto)")</f>
        <v/>
      </c>
      <c r="C84" s="20" t="str">
        <f aca="false">IF('Produção de Fracionados'!A21="","","Cozinha de Produção de Fracionados")</f>
        <v/>
      </c>
      <c r="D84" s="20" t="str">
        <f aca="false">IF('Produção de Fracionados'!A21="","",'Produção de Fracionados'!D21)</f>
        <v/>
      </c>
      <c r="E84" s="20" t="str">
        <f aca="false">IF('Produção de Fracionados'!A21="","",'Produção de Fracionados'!E21)</f>
        <v/>
      </c>
      <c r="F84" s="20" t="str">
        <f aca="false">IF('Produção de Fracionados'!A21="","",'Produção de Fracionados'!F21)</f>
        <v/>
      </c>
      <c r="G84" s="20" t="str">
        <f aca="false">IF('Produção de Fracionados'!A21="","",'Produção de Fracionados'!G21)</f>
        <v/>
      </c>
      <c r="H84" s="20" t="str">
        <f aca="false">IF('Produção de Fracionados'!A21="","",'Produção de Fracionados'!H21)</f>
        <v/>
      </c>
      <c r="I84" s="20" t="str">
        <f aca="false">IF('Produção de Fracionados'!A21="","",'Produção de Fracionados'!B21)</f>
        <v/>
      </c>
      <c r="J84" s="20" t="str">
        <f aca="false">IF('Produção de Fracionados'!A21="","",'Produção de Fracionados'!J21&amp;"")</f>
        <v/>
      </c>
      <c r="K84" s="20" t="str">
        <f aca="false">IF('Produção de Fracionados'!A21="","",'Produção de Fracionados'!K21&amp;"")</f>
        <v/>
      </c>
    </row>
    <row r="85" customFormat="false" ht="15" hidden="false" customHeight="false" outlineLevel="0" collapsed="false">
      <c r="A85" s="18" t="str">
        <f aca="false">IF('Produção de Fracionados'!A22="","",'Produção de Fracionados'!A22)</f>
        <v/>
      </c>
      <c r="B85" s="20" t="str">
        <f aca="false">IF('Produção de Fracionados'!A22="","","Produção (Consumo de Bruto)")</f>
        <v/>
      </c>
      <c r="C85" s="20" t="str">
        <f aca="false">IF('Produção de Fracionados'!A22="","","Cozinha de Produção de Fracionados")</f>
        <v/>
      </c>
      <c r="D85" s="20" t="str">
        <f aca="false">IF('Produção de Fracionados'!A22="","",'Produção de Fracionados'!D22)</f>
        <v/>
      </c>
      <c r="E85" s="20" t="str">
        <f aca="false">IF('Produção de Fracionados'!A22="","",'Produção de Fracionados'!E22)</f>
        <v/>
      </c>
      <c r="F85" s="20" t="str">
        <f aca="false">IF('Produção de Fracionados'!A22="","",'Produção de Fracionados'!F22)</f>
        <v/>
      </c>
      <c r="G85" s="20" t="str">
        <f aca="false">IF('Produção de Fracionados'!A22="","",'Produção de Fracionados'!G22)</f>
        <v/>
      </c>
      <c r="H85" s="20" t="str">
        <f aca="false">IF('Produção de Fracionados'!A22="","",'Produção de Fracionados'!H22)</f>
        <v/>
      </c>
      <c r="I85" s="20" t="str">
        <f aca="false">IF('Produção de Fracionados'!A22="","",'Produção de Fracionados'!B22)</f>
        <v/>
      </c>
      <c r="J85" s="20" t="str">
        <f aca="false">IF('Produção de Fracionados'!A22="","",'Produção de Fracionados'!J22&amp;"")</f>
        <v/>
      </c>
      <c r="K85" s="20" t="str">
        <f aca="false">IF('Produção de Fracionados'!A22="","",'Produção de Fracionados'!K22&amp;"")</f>
        <v/>
      </c>
    </row>
    <row r="86" customFormat="false" ht="15" hidden="false" customHeight="false" outlineLevel="0" collapsed="false">
      <c r="A86" s="18" t="str">
        <f aca="false">IF('Produção de Fracionados'!A23="","",'Produção de Fracionados'!A23)</f>
        <v/>
      </c>
      <c r="B86" s="20" t="str">
        <f aca="false">IF('Produção de Fracionados'!A23="","","Produção (Consumo de Bruto)")</f>
        <v/>
      </c>
      <c r="C86" s="20" t="str">
        <f aca="false">IF('Produção de Fracionados'!A23="","","Cozinha de Produção de Fracionados")</f>
        <v/>
      </c>
      <c r="D86" s="20" t="str">
        <f aca="false">IF('Produção de Fracionados'!A23="","",'Produção de Fracionados'!D23)</f>
        <v/>
      </c>
      <c r="E86" s="20" t="str">
        <f aca="false">IF('Produção de Fracionados'!A23="","",'Produção de Fracionados'!E23)</f>
        <v/>
      </c>
      <c r="F86" s="20" t="str">
        <f aca="false">IF('Produção de Fracionados'!A23="","",'Produção de Fracionados'!F23)</f>
        <v/>
      </c>
      <c r="G86" s="20" t="str">
        <f aca="false">IF('Produção de Fracionados'!A23="","",'Produção de Fracionados'!G23)</f>
        <v/>
      </c>
      <c r="H86" s="20" t="str">
        <f aca="false">IF('Produção de Fracionados'!A23="","",'Produção de Fracionados'!H23)</f>
        <v/>
      </c>
      <c r="I86" s="20" t="str">
        <f aca="false">IF('Produção de Fracionados'!A23="","",'Produção de Fracionados'!B23)</f>
        <v/>
      </c>
      <c r="J86" s="20" t="str">
        <f aca="false">IF('Produção de Fracionados'!A23="","",'Produção de Fracionados'!J23&amp;"")</f>
        <v/>
      </c>
      <c r="K86" s="20" t="str">
        <f aca="false">IF('Produção de Fracionados'!A23="","",'Produção de Fracionados'!K23&amp;"")</f>
        <v/>
      </c>
    </row>
    <row r="87" customFormat="false" ht="15" hidden="false" customHeight="false" outlineLevel="0" collapsed="false">
      <c r="A87" s="18" t="str">
        <f aca="false">IF('Produção de Fracionados'!A24="","",'Produção de Fracionados'!A24)</f>
        <v/>
      </c>
      <c r="B87" s="20" t="str">
        <f aca="false">IF('Produção de Fracionados'!A24="","","Produção (Consumo de Bruto)")</f>
        <v/>
      </c>
      <c r="C87" s="20" t="str">
        <f aca="false">IF('Produção de Fracionados'!A24="","","Cozinha de Produção de Fracionados")</f>
        <v/>
      </c>
      <c r="D87" s="20" t="str">
        <f aca="false">IF('Produção de Fracionados'!A24="","",'Produção de Fracionados'!D24)</f>
        <v/>
      </c>
      <c r="E87" s="20" t="str">
        <f aca="false">IF('Produção de Fracionados'!A24="","",'Produção de Fracionados'!E24)</f>
        <v/>
      </c>
      <c r="F87" s="20" t="str">
        <f aca="false">IF('Produção de Fracionados'!A24="","",'Produção de Fracionados'!F24)</f>
        <v/>
      </c>
      <c r="G87" s="20" t="str">
        <f aca="false">IF('Produção de Fracionados'!A24="","",'Produção de Fracionados'!G24)</f>
        <v/>
      </c>
      <c r="H87" s="20" t="str">
        <f aca="false">IF('Produção de Fracionados'!A24="","",'Produção de Fracionados'!H24)</f>
        <v/>
      </c>
      <c r="I87" s="20" t="str">
        <f aca="false">IF('Produção de Fracionados'!A24="","",'Produção de Fracionados'!B24)</f>
        <v/>
      </c>
      <c r="J87" s="20" t="str">
        <f aca="false">IF('Produção de Fracionados'!A24="","",'Produção de Fracionados'!J24&amp;"")</f>
        <v/>
      </c>
      <c r="K87" s="20" t="str">
        <f aca="false">IF('Produção de Fracionados'!A24="","",'Produção de Fracionados'!K24&amp;"")</f>
        <v/>
      </c>
    </row>
    <row r="88" customFormat="false" ht="15" hidden="false" customHeight="false" outlineLevel="0" collapsed="false">
      <c r="A88" s="18" t="str">
        <f aca="false">IF('Produção de Fracionados'!A25="","",'Produção de Fracionados'!A25)</f>
        <v/>
      </c>
      <c r="B88" s="20" t="str">
        <f aca="false">IF('Produção de Fracionados'!A25="","","Produção (Consumo de Bruto)")</f>
        <v/>
      </c>
      <c r="C88" s="20" t="str">
        <f aca="false">IF('Produção de Fracionados'!A25="","","Cozinha de Produção de Fracionados")</f>
        <v/>
      </c>
      <c r="D88" s="20" t="str">
        <f aca="false">IF('Produção de Fracionados'!A25="","",'Produção de Fracionados'!D25)</f>
        <v/>
      </c>
      <c r="E88" s="20" t="str">
        <f aca="false">IF('Produção de Fracionados'!A25="","",'Produção de Fracionados'!E25)</f>
        <v/>
      </c>
      <c r="F88" s="20" t="str">
        <f aca="false">IF('Produção de Fracionados'!A25="","",'Produção de Fracionados'!F25)</f>
        <v/>
      </c>
      <c r="G88" s="20" t="str">
        <f aca="false">IF('Produção de Fracionados'!A25="","",'Produção de Fracionados'!G25)</f>
        <v/>
      </c>
      <c r="H88" s="20" t="str">
        <f aca="false">IF('Produção de Fracionados'!A25="","",'Produção de Fracionados'!H25)</f>
        <v/>
      </c>
      <c r="I88" s="20" t="str">
        <f aca="false">IF('Produção de Fracionados'!A25="","",'Produção de Fracionados'!B25)</f>
        <v/>
      </c>
      <c r="J88" s="20" t="str">
        <f aca="false">IF('Produção de Fracionados'!A25="","",'Produção de Fracionados'!J25&amp;"")</f>
        <v/>
      </c>
      <c r="K88" s="20" t="str">
        <f aca="false">IF('Produção de Fracionados'!A25="","",'Produção de Fracionados'!K25&amp;"")</f>
        <v/>
      </c>
    </row>
    <row r="89" customFormat="false" ht="15" hidden="false" customHeight="false" outlineLevel="0" collapsed="false">
      <c r="A89" s="18" t="str">
        <f aca="false">IF('Produção de Fracionados'!A26="","",'Produção de Fracionados'!A26)</f>
        <v/>
      </c>
      <c r="B89" s="20" t="str">
        <f aca="false">IF('Produção de Fracionados'!A26="","","Produção (Consumo de Bruto)")</f>
        <v/>
      </c>
      <c r="C89" s="20" t="str">
        <f aca="false">IF('Produção de Fracionados'!A26="","","Cozinha de Produção de Fracionados")</f>
        <v/>
      </c>
      <c r="D89" s="20" t="str">
        <f aca="false">IF('Produção de Fracionados'!A26="","",'Produção de Fracionados'!D26)</f>
        <v/>
      </c>
      <c r="E89" s="20" t="str">
        <f aca="false">IF('Produção de Fracionados'!A26="","",'Produção de Fracionados'!E26)</f>
        <v/>
      </c>
      <c r="F89" s="20" t="str">
        <f aca="false">IF('Produção de Fracionados'!A26="","",'Produção de Fracionados'!F26)</f>
        <v/>
      </c>
      <c r="G89" s="20" t="str">
        <f aca="false">IF('Produção de Fracionados'!A26="","",'Produção de Fracionados'!G26)</f>
        <v/>
      </c>
      <c r="H89" s="20" t="str">
        <f aca="false">IF('Produção de Fracionados'!A26="","",'Produção de Fracionados'!H26)</f>
        <v/>
      </c>
      <c r="I89" s="20" t="str">
        <f aca="false">IF('Produção de Fracionados'!A26="","",'Produção de Fracionados'!B26)</f>
        <v/>
      </c>
      <c r="J89" s="20" t="str">
        <f aca="false">IF('Produção de Fracionados'!A26="","",'Produção de Fracionados'!J26&amp;"")</f>
        <v/>
      </c>
      <c r="K89" s="20" t="str">
        <f aca="false">IF('Produção de Fracionados'!A26="","",'Produção de Fracionados'!K26&amp;"")</f>
        <v/>
      </c>
    </row>
    <row r="90" customFormat="false" ht="15" hidden="false" customHeight="false" outlineLevel="0" collapsed="false">
      <c r="A90" s="18" t="str">
        <f aca="false">IF('Produção de Fracionados'!A27="","",'Produção de Fracionados'!A27)</f>
        <v/>
      </c>
      <c r="B90" s="20" t="str">
        <f aca="false">IF('Produção de Fracionados'!A27="","","Produção (Consumo de Bruto)")</f>
        <v/>
      </c>
      <c r="C90" s="20" t="str">
        <f aca="false">IF('Produção de Fracionados'!A27="","","Cozinha de Produção de Fracionados")</f>
        <v/>
      </c>
      <c r="D90" s="20" t="str">
        <f aca="false">IF('Produção de Fracionados'!A27="","",'Produção de Fracionados'!D27)</f>
        <v/>
      </c>
      <c r="E90" s="20" t="str">
        <f aca="false">IF('Produção de Fracionados'!A27="","",'Produção de Fracionados'!E27)</f>
        <v/>
      </c>
      <c r="F90" s="20" t="str">
        <f aca="false">IF('Produção de Fracionados'!A27="","",'Produção de Fracionados'!F27)</f>
        <v/>
      </c>
      <c r="G90" s="20" t="str">
        <f aca="false">IF('Produção de Fracionados'!A27="","",'Produção de Fracionados'!G27)</f>
        <v/>
      </c>
      <c r="H90" s="20" t="str">
        <f aca="false">IF('Produção de Fracionados'!A27="","",'Produção de Fracionados'!H27)</f>
        <v/>
      </c>
      <c r="I90" s="20" t="str">
        <f aca="false">IF('Produção de Fracionados'!A27="","",'Produção de Fracionados'!B27)</f>
        <v/>
      </c>
      <c r="J90" s="20" t="str">
        <f aca="false">IF('Produção de Fracionados'!A27="","",'Produção de Fracionados'!J27&amp;"")</f>
        <v/>
      </c>
      <c r="K90" s="20" t="str">
        <f aca="false">IF('Produção de Fracionados'!A27="","",'Produção de Fracionados'!K27&amp;"")</f>
        <v/>
      </c>
    </row>
    <row r="91" customFormat="false" ht="15" hidden="false" customHeight="false" outlineLevel="0" collapsed="false">
      <c r="A91" s="18" t="str">
        <f aca="false">IF('Produção de Fracionados'!A28="","",'Produção de Fracionados'!A28)</f>
        <v/>
      </c>
      <c r="B91" s="20" t="str">
        <f aca="false">IF('Produção de Fracionados'!A28="","","Produção (Consumo de Bruto)")</f>
        <v/>
      </c>
      <c r="C91" s="20" t="str">
        <f aca="false">IF('Produção de Fracionados'!A28="","","Cozinha de Produção de Fracionados")</f>
        <v/>
      </c>
      <c r="D91" s="20" t="str">
        <f aca="false">IF('Produção de Fracionados'!A28="","",'Produção de Fracionados'!D28)</f>
        <v/>
      </c>
      <c r="E91" s="20" t="str">
        <f aca="false">IF('Produção de Fracionados'!A28="","",'Produção de Fracionados'!E28)</f>
        <v/>
      </c>
      <c r="F91" s="20" t="str">
        <f aca="false">IF('Produção de Fracionados'!A28="","",'Produção de Fracionados'!F28)</f>
        <v/>
      </c>
      <c r="G91" s="20" t="str">
        <f aca="false">IF('Produção de Fracionados'!A28="","",'Produção de Fracionados'!G28)</f>
        <v/>
      </c>
      <c r="H91" s="20" t="str">
        <f aca="false">IF('Produção de Fracionados'!A28="","",'Produção de Fracionados'!H28)</f>
        <v/>
      </c>
      <c r="I91" s="20" t="str">
        <f aca="false">IF('Produção de Fracionados'!A28="","",'Produção de Fracionados'!B28)</f>
        <v/>
      </c>
      <c r="J91" s="20" t="str">
        <f aca="false">IF('Produção de Fracionados'!A28="","",'Produção de Fracionados'!J28&amp;"")</f>
        <v/>
      </c>
      <c r="K91" s="20" t="str">
        <f aca="false">IF('Produção de Fracionados'!A28="","",'Produção de Fracionados'!K28&amp;"")</f>
        <v/>
      </c>
    </row>
    <row r="92" customFormat="false" ht="15" hidden="false" customHeight="false" outlineLevel="0" collapsed="false">
      <c r="A92" s="18" t="str">
        <f aca="false">IF('Produção de Fracionados'!A29="","",'Produção de Fracionados'!A29)</f>
        <v/>
      </c>
      <c r="B92" s="20" t="str">
        <f aca="false">IF('Produção de Fracionados'!A29="","","Produção (Consumo de Bruto)")</f>
        <v/>
      </c>
      <c r="C92" s="20" t="str">
        <f aca="false">IF('Produção de Fracionados'!A29="","","Cozinha de Produção de Fracionados")</f>
        <v/>
      </c>
      <c r="D92" s="20" t="str">
        <f aca="false">IF('Produção de Fracionados'!A29="","",'Produção de Fracionados'!D29)</f>
        <v/>
      </c>
      <c r="E92" s="20" t="str">
        <f aca="false">IF('Produção de Fracionados'!A29="","",'Produção de Fracionados'!E29)</f>
        <v/>
      </c>
      <c r="F92" s="20" t="str">
        <f aca="false">IF('Produção de Fracionados'!A29="","",'Produção de Fracionados'!F29)</f>
        <v/>
      </c>
      <c r="G92" s="20" t="str">
        <f aca="false">IF('Produção de Fracionados'!A29="","",'Produção de Fracionados'!G29)</f>
        <v/>
      </c>
      <c r="H92" s="20" t="str">
        <f aca="false">IF('Produção de Fracionados'!A29="","",'Produção de Fracionados'!H29)</f>
        <v/>
      </c>
      <c r="I92" s="20" t="str">
        <f aca="false">IF('Produção de Fracionados'!A29="","",'Produção de Fracionados'!B29)</f>
        <v/>
      </c>
      <c r="J92" s="20" t="str">
        <f aca="false">IF('Produção de Fracionados'!A29="","",'Produção de Fracionados'!J29&amp;"")</f>
        <v/>
      </c>
      <c r="K92" s="20" t="str">
        <f aca="false">IF('Produção de Fracionados'!A29="","",'Produção de Fracionados'!K29&amp;"")</f>
        <v/>
      </c>
    </row>
    <row r="93" customFormat="false" ht="15" hidden="false" customHeight="false" outlineLevel="0" collapsed="false">
      <c r="A93" s="18" t="str">
        <f aca="false">IF('Produção de Fracionados'!A30="","",'Produção de Fracionados'!A30)</f>
        <v/>
      </c>
      <c r="B93" s="20" t="str">
        <f aca="false">IF('Produção de Fracionados'!A30="","","Produção (Consumo de Bruto)")</f>
        <v/>
      </c>
      <c r="C93" s="20" t="str">
        <f aca="false">IF('Produção de Fracionados'!A30="","","Cozinha de Produção de Fracionados")</f>
        <v/>
      </c>
      <c r="D93" s="20" t="str">
        <f aca="false">IF('Produção de Fracionados'!A30="","",'Produção de Fracionados'!D30)</f>
        <v/>
      </c>
      <c r="E93" s="20" t="str">
        <f aca="false">IF('Produção de Fracionados'!A30="","",'Produção de Fracionados'!E30)</f>
        <v/>
      </c>
      <c r="F93" s="20" t="str">
        <f aca="false">IF('Produção de Fracionados'!A30="","",'Produção de Fracionados'!F30)</f>
        <v/>
      </c>
      <c r="G93" s="20" t="str">
        <f aca="false">IF('Produção de Fracionados'!A30="","",'Produção de Fracionados'!G30)</f>
        <v/>
      </c>
      <c r="H93" s="20" t="str">
        <f aca="false">IF('Produção de Fracionados'!A30="","",'Produção de Fracionados'!H30)</f>
        <v/>
      </c>
      <c r="I93" s="20" t="str">
        <f aca="false">IF('Produção de Fracionados'!A30="","",'Produção de Fracionados'!B30)</f>
        <v/>
      </c>
      <c r="J93" s="20" t="str">
        <f aca="false">IF('Produção de Fracionados'!A30="","",'Produção de Fracionados'!J30&amp;"")</f>
        <v/>
      </c>
      <c r="K93" s="20" t="str">
        <f aca="false">IF('Produção de Fracionados'!A30="","",'Produção de Fracionados'!K30&amp;"")</f>
        <v/>
      </c>
    </row>
    <row r="94" customFormat="false" ht="15" hidden="false" customHeight="false" outlineLevel="0" collapsed="false">
      <c r="A94" s="18" t="str">
        <f aca="false">IF('Produção de Fracionados'!A31="","",'Produção de Fracionados'!A31)</f>
        <v/>
      </c>
      <c r="B94" s="20" t="str">
        <f aca="false">IF('Produção de Fracionados'!A31="","","Produção (Consumo de Bruto)")</f>
        <v/>
      </c>
      <c r="C94" s="20" t="str">
        <f aca="false">IF('Produção de Fracionados'!A31="","","Cozinha de Produção de Fracionados")</f>
        <v/>
      </c>
      <c r="D94" s="20" t="str">
        <f aca="false">IF('Produção de Fracionados'!A31="","",'Produção de Fracionados'!D31)</f>
        <v/>
      </c>
      <c r="E94" s="20" t="str">
        <f aca="false">IF('Produção de Fracionados'!A31="","",'Produção de Fracionados'!E31)</f>
        <v/>
      </c>
      <c r="F94" s="20" t="str">
        <f aca="false">IF('Produção de Fracionados'!A31="","",'Produção de Fracionados'!F31)</f>
        <v/>
      </c>
      <c r="G94" s="20" t="str">
        <f aca="false">IF('Produção de Fracionados'!A31="","",'Produção de Fracionados'!G31)</f>
        <v/>
      </c>
      <c r="H94" s="20" t="str">
        <f aca="false">IF('Produção de Fracionados'!A31="","",'Produção de Fracionados'!H31)</f>
        <v/>
      </c>
      <c r="I94" s="20" t="str">
        <f aca="false">IF('Produção de Fracionados'!A31="","",'Produção de Fracionados'!B31)</f>
        <v/>
      </c>
      <c r="J94" s="20" t="str">
        <f aca="false">IF('Produção de Fracionados'!A31="","",'Produção de Fracionados'!J31&amp;"")</f>
        <v/>
      </c>
      <c r="K94" s="20" t="str">
        <f aca="false">IF('Produção de Fracionados'!A31="","",'Produção de Fracionados'!K31&amp;"")</f>
        <v/>
      </c>
    </row>
    <row r="95" customFormat="false" ht="15" hidden="false" customHeight="false" outlineLevel="0" collapsed="false">
      <c r="A95" s="19" t="s">
        <v>196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customFormat="false" ht="15" hidden="false" customHeight="false" outlineLevel="0" collapsed="false">
      <c r="A96" s="18" t="n">
        <f aca="false">IF('Entrada Estoque Fracionado'!A2="","",'Entrada Estoque Fracionado'!A2)</f>
        <v>46209</v>
      </c>
      <c r="B96" s="20" t="str">
        <f aca="false">IF('Entrada Estoque Fracionado'!A2="","","Entrada Fracionado (Produção)")</f>
        <v>Entrada Fracionado (Produção)</v>
      </c>
      <c r="C96" s="20" t="str">
        <f aca="false">IF('Entrada Estoque Fracionado'!A2="","","Produção Lote "&amp;'Entrada Estoque Fracionado'!B2)</f>
        <v>Produção Lote LP-001</v>
      </c>
      <c r="D96" s="20" t="str">
        <f aca="false">IF('Entrada Estoque Fracionado'!A2="","",'Entrada Estoque Fracionado'!I2)</f>
        <v>Cozinha de Produção de Fracionados</v>
      </c>
      <c r="E96" s="20" t="str">
        <f aca="false">IF('Entrada Estoque Fracionado'!A2="","",'Entrada Estoque Fracionado'!C2)</f>
        <v>FR-001</v>
      </c>
      <c r="F96" s="20" t="str">
        <f aca="false">IF('Entrada Estoque Fracionado'!A2="","",'Entrada Estoque Fracionado'!D2)</f>
        <v>Salmão Fatiado para Sushi</v>
      </c>
      <c r="G96" s="16" t="n">
        <f aca="false">IF('Entrada Estoque Fracionado'!A2="","",'Entrada Estoque Fracionado'!E2)</f>
        <v>17</v>
      </c>
      <c r="H96" s="20" t="str">
        <f aca="false">IF('Entrada Estoque Fracionado'!A2="","",'Entrada Estoque Fracionado'!F2)</f>
        <v>KG</v>
      </c>
      <c r="I96" s="20" t="str">
        <f aca="false">IF('Entrada Estoque Fracionado'!A2="","",'Entrada Estoque Fracionado'!B2)</f>
        <v>LP-001</v>
      </c>
      <c r="J96" s="20" t="str">
        <f aca="false">IF('Entrada Estoque Fracionado'!A2="","",'Entrada Estoque Fracionado'!J2)</f>
        <v>Igor Morgado</v>
      </c>
      <c r="K96" s="20" t="str">
        <f aca="false">IF('Entrada Estoque Fracionado'!A2="","",'Entrada Estoque Fracionado'!K2)</f>
        <v>Rendimento de 20kg de salmão bruto</v>
      </c>
    </row>
    <row r="97" customFormat="false" ht="15" hidden="false" customHeight="false" outlineLevel="0" collapsed="false">
      <c r="A97" s="18" t="n">
        <f aca="false">IF('Entrada Estoque Fracionado'!A3="","",'Entrada Estoque Fracionado'!A3)</f>
        <v>46209</v>
      </c>
      <c r="B97" s="20" t="str">
        <f aca="false">IF('Entrada Estoque Fracionado'!A3="","","Entrada Fracionado (Produção)")</f>
        <v>Entrada Fracionado (Produção)</v>
      </c>
      <c r="C97" s="20" t="str">
        <f aca="false">IF('Entrada Estoque Fracionado'!A3="","","Produção Lote "&amp;'Entrada Estoque Fracionado'!B3)</f>
        <v>Produção Lote LP-002</v>
      </c>
      <c r="D97" s="20" t="str">
        <f aca="false">IF('Entrada Estoque Fracionado'!A3="","",'Entrada Estoque Fracionado'!I3)</f>
        <v>Cozinha de Produção de Fracionados</v>
      </c>
      <c r="E97" s="20" t="str">
        <f aca="false">IF('Entrada Estoque Fracionado'!A3="","",'Entrada Estoque Fracionado'!C3)</f>
        <v>FR-002</v>
      </c>
      <c r="F97" s="20" t="str">
        <f aca="false">IF('Entrada Estoque Fracionado'!A3="","",'Entrada Estoque Fracionado'!D3)</f>
        <v>Arroz Temperado para Sushi</v>
      </c>
      <c r="G97" s="16" t="n">
        <f aca="false">IF('Entrada Estoque Fracionado'!A3="","",'Entrada Estoque Fracionado'!E3)</f>
        <v>22</v>
      </c>
      <c r="H97" s="20" t="str">
        <f aca="false">IF('Entrada Estoque Fracionado'!A3="","",'Entrada Estoque Fracionado'!F3)</f>
        <v>KG</v>
      </c>
      <c r="I97" s="20" t="str">
        <f aca="false">IF('Entrada Estoque Fracionado'!A3="","",'Entrada Estoque Fracionado'!B3)</f>
        <v>LP-002</v>
      </c>
      <c r="J97" s="20" t="str">
        <f aca="false">IF('Entrada Estoque Fracionado'!A3="","",'Entrada Estoque Fracionado'!J3)</f>
        <v>Igor Morgado</v>
      </c>
      <c r="K97" s="20" t="str">
        <f aca="false">IF('Entrada Estoque Fracionado'!A3="","",'Entrada Estoque Fracionado'!K3)</f>
        <v>Ganho de peso por hidratação do tempero</v>
      </c>
    </row>
    <row r="98" customFormat="false" ht="15" hidden="false" customHeight="false" outlineLevel="0" collapsed="false">
      <c r="A98" s="18" t="n">
        <f aca="false">IF('Entrada Estoque Fracionado'!A4="","",'Entrada Estoque Fracionado'!A4)</f>
        <v>46209</v>
      </c>
      <c r="B98" s="20" t="str">
        <f aca="false">IF('Entrada Estoque Fracionado'!A4="","","Entrada Fracionado (Produção)")</f>
        <v>Entrada Fracionado (Produção)</v>
      </c>
      <c r="C98" s="20" t="str">
        <f aca="false">IF('Entrada Estoque Fracionado'!A4="","","Produção Lote "&amp;'Entrada Estoque Fracionado'!B4)</f>
        <v>Produção Lote LP-003</v>
      </c>
      <c r="D98" s="20" t="str">
        <f aca="false">IF('Entrada Estoque Fracionado'!A4="","",'Entrada Estoque Fracionado'!I4)</f>
        <v>Cozinha de Produção de Fracionados</v>
      </c>
      <c r="E98" s="20" t="str">
        <f aca="false">IF('Entrada Estoque Fracionado'!A4="","",'Entrada Estoque Fracionado'!C4)</f>
        <v>FR-003</v>
      </c>
      <c r="F98" s="20" t="str">
        <f aca="false">IF('Entrada Estoque Fracionado'!A4="","",'Entrada Estoque Fracionado'!D4)</f>
        <v>Alface Higienizada e Cortada</v>
      </c>
      <c r="G98" s="16" t="n">
        <f aca="false">IF('Entrada Estoque Fracionado'!A4="","",'Entrada Estoque Fracionado'!E4)</f>
        <v>8</v>
      </c>
      <c r="H98" s="20" t="str">
        <f aca="false">IF('Entrada Estoque Fracionado'!A4="","",'Entrada Estoque Fracionado'!F4)</f>
        <v>KG</v>
      </c>
      <c r="I98" s="20" t="str">
        <f aca="false">IF('Entrada Estoque Fracionado'!A4="","",'Entrada Estoque Fracionado'!B4)</f>
        <v>LP-003</v>
      </c>
      <c r="J98" s="20" t="str">
        <f aca="false">IF('Entrada Estoque Fracionado'!A4="","",'Entrada Estoque Fracionado'!J4)</f>
        <v>Igor Morgado</v>
      </c>
      <c r="K98" s="20" t="str">
        <f aca="false">IF('Entrada Estoque Fracionado'!A4="","",'Entrada Estoque Fracionado'!K4)</f>
        <v>Perda por aparas na higienização</v>
      </c>
    </row>
    <row r="99" customFormat="false" ht="15" hidden="false" customHeight="false" outlineLevel="0" collapsed="false">
      <c r="A99" s="18" t="n">
        <f aca="false">IF('Entrada Estoque Fracionado'!A5="","",'Entrada Estoque Fracionado'!A5)</f>
        <v>46209</v>
      </c>
      <c r="B99" s="20" t="str">
        <f aca="false">IF('Entrada Estoque Fracionado'!A5="","","Entrada Fracionado (Produção)")</f>
        <v>Entrada Fracionado (Produção)</v>
      </c>
      <c r="C99" s="20" t="str">
        <f aca="false">IF('Entrada Estoque Fracionado'!A5="","","Produção Lote "&amp;'Entrada Estoque Fracionado'!B5)</f>
        <v>Produção Lote LP-004</v>
      </c>
      <c r="D99" s="20" t="str">
        <f aca="false">IF('Entrada Estoque Fracionado'!A5="","",'Entrada Estoque Fracionado'!I5)</f>
        <v>Cozinha de Produção de Fracionados</v>
      </c>
      <c r="E99" s="20" t="str">
        <f aca="false">IF('Entrada Estoque Fracionado'!A5="","",'Entrada Estoque Fracionado'!C5)</f>
        <v>FR-005</v>
      </c>
      <c r="F99" s="20" t="str">
        <f aca="false">IF('Entrada Estoque Fracionado'!A5="","",'Entrada Estoque Fracionado'!D5)</f>
        <v>Tomate Picado</v>
      </c>
      <c r="G99" s="16" t="n">
        <f aca="false">IF('Entrada Estoque Fracionado'!A5="","",'Entrada Estoque Fracionado'!E5)</f>
        <v>11</v>
      </c>
      <c r="H99" s="20" t="str">
        <f aca="false">IF('Entrada Estoque Fracionado'!A5="","",'Entrada Estoque Fracionado'!F5)</f>
        <v>KG</v>
      </c>
      <c r="I99" s="20" t="str">
        <f aca="false">IF('Entrada Estoque Fracionado'!A5="","",'Entrada Estoque Fracionado'!B5)</f>
        <v>LP-004</v>
      </c>
      <c r="J99" s="20" t="str">
        <f aca="false">IF('Entrada Estoque Fracionado'!A5="","",'Entrada Estoque Fracionado'!J5)</f>
        <v>Igor Morgado</v>
      </c>
      <c r="K99" s="20" t="str">
        <f aca="false">IF('Entrada Estoque Fracionado'!A5="","",'Entrada Estoque Fracionado'!K5)</f>
        <v>Perda por aparas no corte</v>
      </c>
    </row>
    <row r="100" customFormat="false" ht="15" hidden="false" customHeight="false" outlineLevel="0" collapsed="false">
      <c r="A100" s="18" t="str">
        <f aca="false">IF('Entrada Estoque Fracionado'!A6="","",'Entrada Estoque Fracionado'!A6)</f>
        <v/>
      </c>
      <c r="B100" s="20" t="str">
        <f aca="false">IF('Entrada Estoque Fracionado'!A6="","","Entrada Fracionado (Produção)")</f>
        <v/>
      </c>
      <c r="C100" s="20" t="str">
        <f aca="false">IF('Entrada Estoque Fracionado'!A6="","","Produção Lote "&amp;'Entrada Estoque Fracionado'!B6)</f>
        <v/>
      </c>
      <c r="D100" s="20" t="str">
        <f aca="false">IF('Entrada Estoque Fracionado'!A6="","",'Entrada Estoque Fracionado'!I6)</f>
        <v/>
      </c>
      <c r="E100" s="20" t="str">
        <f aca="false">IF('Entrada Estoque Fracionado'!A6="","",'Entrada Estoque Fracionado'!C6)</f>
        <v/>
      </c>
      <c r="F100" s="20" t="str">
        <f aca="false">IF('Entrada Estoque Fracionado'!A6="","",'Entrada Estoque Fracionado'!D6)</f>
        <v/>
      </c>
      <c r="G100" s="20" t="str">
        <f aca="false">IF('Entrada Estoque Fracionado'!A6="","",'Entrada Estoque Fracionado'!E6)</f>
        <v/>
      </c>
      <c r="H100" s="20" t="str">
        <f aca="false">IF('Entrada Estoque Fracionado'!A6="","",'Entrada Estoque Fracionado'!F6)</f>
        <v/>
      </c>
      <c r="I100" s="20" t="str">
        <f aca="false">IF('Entrada Estoque Fracionado'!A6="","",'Entrada Estoque Fracionado'!B6)</f>
        <v/>
      </c>
      <c r="J100" s="20" t="str">
        <f aca="false">IF('Entrada Estoque Fracionado'!A6="","",'Entrada Estoque Fracionado'!J6)</f>
        <v/>
      </c>
      <c r="K100" s="20" t="str">
        <f aca="false">IF('Entrada Estoque Fracionado'!A6="","",'Entrada Estoque Fracionado'!K6)</f>
        <v/>
      </c>
    </row>
    <row r="101" customFormat="false" ht="15" hidden="false" customHeight="false" outlineLevel="0" collapsed="false">
      <c r="A101" s="18" t="str">
        <f aca="false">IF('Entrada Estoque Fracionado'!A7="","",'Entrada Estoque Fracionado'!A7)</f>
        <v/>
      </c>
      <c r="B101" s="20" t="str">
        <f aca="false">IF('Entrada Estoque Fracionado'!A7="","","Entrada Fracionado (Produção)")</f>
        <v/>
      </c>
      <c r="C101" s="20" t="str">
        <f aca="false">IF('Entrada Estoque Fracionado'!A7="","","Produção Lote "&amp;'Entrada Estoque Fracionado'!B7)</f>
        <v/>
      </c>
      <c r="D101" s="20" t="str">
        <f aca="false">IF('Entrada Estoque Fracionado'!A7="","",'Entrada Estoque Fracionado'!I7)</f>
        <v/>
      </c>
      <c r="E101" s="20" t="str">
        <f aca="false">IF('Entrada Estoque Fracionado'!A7="","",'Entrada Estoque Fracionado'!C7)</f>
        <v/>
      </c>
      <c r="F101" s="20" t="str">
        <f aca="false">IF('Entrada Estoque Fracionado'!A7="","",'Entrada Estoque Fracionado'!D7)</f>
        <v/>
      </c>
      <c r="G101" s="20" t="str">
        <f aca="false">IF('Entrada Estoque Fracionado'!A7="","",'Entrada Estoque Fracionado'!E7)</f>
        <v/>
      </c>
      <c r="H101" s="20" t="str">
        <f aca="false">IF('Entrada Estoque Fracionado'!A7="","",'Entrada Estoque Fracionado'!F7)</f>
        <v/>
      </c>
      <c r="I101" s="20" t="str">
        <f aca="false">IF('Entrada Estoque Fracionado'!A7="","",'Entrada Estoque Fracionado'!B7)</f>
        <v/>
      </c>
      <c r="J101" s="20" t="str">
        <f aca="false">IF('Entrada Estoque Fracionado'!A7="","",'Entrada Estoque Fracionado'!J7)</f>
        <v/>
      </c>
      <c r="K101" s="20" t="str">
        <f aca="false">IF('Entrada Estoque Fracionado'!A7="","",'Entrada Estoque Fracionado'!K7)</f>
        <v/>
      </c>
    </row>
    <row r="102" customFormat="false" ht="15" hidden="false" customHeight="false" outlineLevel="0" collapsed="false">
      <c r="A102" s="18" t="str">
        <f aca="false">IF('Entrada Estoque Fracionado'!A8="","",'Entrada Estoque Fracionado'!A8)</f>
        <v/>
      </c>
      <c r="B102" s="20" t="str">
        <f aca="false">IF('Entrada Estoque Fracionado'!A8="","","Entrada Fracionado (Produção)")</f>
        <v/>
      </c>
      <c r="C102" s="20" t="str">
        <f aca="false">IF('Entrada Estoque Fracionado'!A8="","","Produção Lote "&amp;'Entrada Estoque Fracionado'!B8)</f>
        <v/>
      </c>
      <c r="D102" s="20" t="str">
        <f aca="false">IF('Entrada Estoque Fracionado'!A8="","",'Entrada Estoque Fracionado'!I8)</f>
        <v/>
      </c>
      <c r="E102" s="20" t="str">
        <f aca="false">IF('Entrada Estoque Fracionado'!A8="","",'Entrada Estoque Fracionado'!C8)</f>
        <v/>
      </c>
      <c r="F102" s="20" t="str">
        <f aca="false">IF('Entrada Estoque Fracionado'!A8="","",'Entrada Estoque Fracionado'!D8)</f>
        <v/>
      </c>
      <c r="G102" s="20" t="str">
        <f aca="false">IF('Entrada Estoque Fracionado'!A8="","",'Entrada Estoque Fracionado'!E8)</f>
        <v/>
      </c>
      <c r="H102" s="20" t="str">
        <f aca="false">IF('Entrada Estoque Fracionado'!A8="","",'Entrada Estoque Fracionado'!F8)</f>
        <v/>
      </c>
      <c r="I102" s="20" t="str">
        <f aca="false">IF('Entrada Estoque Fracionado'!A8="","",'Entrada Estoque Fracionado'!B8)</f>
        <v/>
      </c>
      <c r="J102" s="20" t="str">
        <f aca="false">IF('Entrada Estoque Fracionado'!A8="","",'Entrada Estoque Fracionado'!J8)</f>
        <v/>
      </c>
      <c r="K102" s="20" t="str">
        <f aca="false">IF('Entrada Estoque Fracionado'!A8="","",'Entrada Estoque Fracionado'!K8)</f>
        <v/>
      </c>
    </row>
    <row r="103" customFormat="false" ht="15" hidden="false" customHeight="false" outlineLevel="0" collapsed="false">
      <c r="A103" s="18" t="str">
        <f aca="false">IF('Entrada Estoque Fracionado'!A9="","",'Entrada Estoque Fracionado'!A9)</f>
        <v/>
      </c>
      <c r="B103" s="20" t="str">
        <f aca="false">IF('Entrada Estoque Fracionado'!A9="","","Entrada Fracionado (Produção)")</f>
        <v/>
      </c>
      <c r="C103" s="20" t="str">
        <f aca="false">IF('Entrada Estoque Fracionado'!A9="","","Produção Lote "&amp;'Entrada Estoque Fracionado'!B9)</f>
        <v/>
      </c>
      <c r="D103" s="20" t="str">
        <f aca="false">IF('Entrada Estoque Fracionado'!A9="","",'Entrada Estoque Fracionado'!I9)</f>
        <v/>
      </c>
      <c r="E103" s="20" t="str">
        <f aca="false">IF('Entrada Estoque Fracionado'!A9="","",'Entrada Estoque Fracionado'!C9)</f>
        <v/>
      </c>
      <c r="F103" s="20" t="str">
        <f aca="false">IF('Entrada Estoque Fracionado'!A9="","",'Entrada Estoque Fracionado'!D9)</f>
        <v/>
      </c>
      <c r="G103" s="20" t="str">
        <f aca="false">IF('Entrada Estoque Fracionado'!A9="","",'Entrada Estoque Fracionado'!E9)</f>
        <v/>
      </c>
      <c r="H103" s="20" t="str">
        <f aca="false">IF('Entrada Estoque Fracionado'!A9="","",'Entrada Estoque Fracionado'!F9)</f>
        <v/>
      </c>
      <c r="I103" s="20" t="str">
        <f aca="false">IF('Entrada Estoque Fracionado'!A9="","",'Entrada Estoque Fracionado'!B9)</f>
        <v/>
      </c>
      <c r="J103" s="20" t="str">
        <f aca="false">IF('Entrada Estoque Fracionado'!A9="","",'Entrada Estoque Fracionado'!J9)</f>
        <v/>
      </c>
      <c r="K103" s="20" t="str">
        <f aca="false">IF('Entrada Estoque Fracionado'!A9="","",'Entrada Estoque Fracionado'!K9)</f>
        <v/>
      </c>
    </row>
    <row r="104" customFormat="false" ht="15" hidden="false" customHeight="false" outlineLevel="0" collapsed="false">
      <c r="A104" s="18" t="str">
        <f aca="false">IF('Entrada Estoque Fracionado'!A10="","",'Entrada Estoque Fracionado'!A10)</f>
        <v/>
      </c>
      <c r="B104" s="20" t="str">
        <f aca="false">IF('Entrada Estoque Fracionado'!A10="","","Entrada Fracionado (Produção)")</f>
        <v/>
      </c>
      <c r="C104" s="20" t="str">
        <f aca="false">IF('Entrada Estoque Fracionado'!A10="","","Produção Lote "&amp;'Entrada Estoque Fracionado'!B10)</f>
        <v/>
      </c>
      <c r="D104" s="20" t="str">
        <f aca="false">IF('Entrada Estoque Fracionado'!A10="","",'Entrada Estoque Fracionado'!I10)</f>
        <v/>
      </c>
      <c r="E104" s="20" t="str">
        <f aca="false">IF('Entrada Estoque Fracionado'!A10="","",'Entrada Estoque Fracionado'!C10)</f>
        <v/>
      </c>
      <c r="F104" s="20" t="str">
        <f aca="false">IF('Entrada Estoque Fracionado'!A10="","",'Entrada Estoque Fracionado'!D10)</f>
        <v/>
      </c>
      <c r="G104" s="20" t="str">
        <f aca="false">IF('Entrada Estoque Fracionado'!A10="","",'Entrada Estoque Fracionado'!E10)</f>
        <v/>
      </c>
      <c r="H104" s="20" t="str">
        <f aca="false">IF('Entrada Estoque Fracionado'!A10="","",'Entrada Estoque Fracionado'!F10)</f>
        <v/>
      </c>
      <c r="I104" s="20" t="str">
        <f aca="false">IF('Entrada Estoque Fracionado'!A10="","",'Entrada Estoque Fracionado'!B10)</f>
        <v/>
      </c>
      <c r="J104" s="20" t="str">
        <f aca="false">IF('Entrada Estoque Fracionado'!A10="","",'Entrada Estoque Fracionado'!J10)</f>
        <v/>
      </c>
      <c r="K104" s="20" t="str">
        <f aca="false">IF('Entrada Estoque Fracionado'!A10="","",'Entrada Estoque Fracionado'!K10)</f>
        <v/>
      </c>
    </row>
    <row r="105" customFormat="false" ht="15" hidden="false" customHeight="false" outlineLevel="0" collapsed="false">
      <c r="A105" s="18" t="str">
        <f aca="false">IF('Entrada Estoque Fracionado'!A11="","",'Entrada Estoque Fracionado'!A11)</f>
        <v/>
      </c>
      <c r="B105" s="20" t="str">
        <f aca="false">IF('Entrada Estoque Fracionado'!A11="","","Entrada Fracionado (Produção)")</f>
        <v/>
      </c>
      <c r="C105" s="20" t="str">
        <f aca="false">IF('Entrada Estoque Fracionado'!A11="","","Produção Lote "&amp;'Entrada Estoque Fracionado'!B11)</f>
        <v/>
      </c>
      <c r="D105" s="20" t="str">
        <f aca="false">IF('Entrada Estoque Fracionado'!A11="","",'Entrada Estoque Fracionado'!I11)</f>
        <v/>
      </c>
      <c r="E105" s="20" t="str">
        <f aca="false">IF('Entrada Estoque Fracionado'!A11="","",'Entrada Estoque Fracionado'!C11)</f>
        <v/>
      </c>
      <c r="F105" s="20" t="str">
        <f aca="false">IF('Entrada Estoque Fracionado'!A11="","",'Entrada Estoque Fracionado'!D11)</f>
        <v/>
      </c>
      <c r="G105" s="20" t="str">
        <f aca="false">IF('Entrada Estoque Fracionado'!A11="","",'Entrada Estoque Fracionado'!E11)</f>
        <v/>
      </c>
      <c r="H105" s="20" t="str">
        <f aca="false">IF('Entrada Estoque Fracionado'!A11="","",'Entrada Estoque Fracionado'!F11)</f>
        <v/>
      </c>
      <c r="I105" s="20" t="str">
        <f aca="false">IF('Entrada Estoque Fracionado'!A11="","",'Entrada Estoque Fracionado'!B11)</f>
        <v/>
      </c>
      <c r="J105" s="20" t="str">
        <f aca="false">IF('Entrada Estoque Fracionado'!A11="","",'Entrada Estoque Fracionado'!J11)</f>
        <v/>
      </c>
      <c r="K105" s="20" t="str">
        <f aca="false">IF('Entrada Estoque Fracionado'!A11="","",'Entrada Estoque Fracionado'!K11)</f>
        <v/>
      </c>
    </row>
    <row r="106" customFormat="false" ht="15" hidden="false" customHeight="false" outlineLevel="0" collapsed="false">
      <c r="A106" s="18" t="str">
        <f aca="false">IF('Entrada Estoque Fracionado'!A12="","",'Entrada Estoque Fracionado'!A12)</f>
        <v/>
      </c>
      <c r="B106" s="20" t="str">
        <f aca="false">IF('Entrada Estoque Fracionado'!A12="","","Entrada Fracionado (Produção)")</f>
        <v/>
      </c>
      <c r="C106" s="20" t="str">
        <f aca="false">IF('Entrada Estoque Fracionado'!A12="","","Produção Lote "&amp;'Entrada Estoque Fracionado'!B12)</f>
        <v/>
      </c>
      <c r="D106" s="20" t="str">
        <f aca="false">IF('Entrada Estoque Fracionado'!A12="","",'Entrada Estoque Fracionado'!I12)</f>
        <v/>
      </c>
      <c r="E106" s="20" t="str">
        <f aca="false">IF('Entrada Estoque Fracionado'!A12="","",'Entrada Estoque Fracionado'!C12)</f>
        <v/>
      </c>
      <c r="F106" s="20" t="str">
        <f aca="false">IF('Entrada Estoque Fracionado'!A12="","",'Entrada Estoque Fracionado'!D12)</f>
        <v/>
      </c>
      <c r="G106" s="20" t="str">
        <f aca="false">IF('Entrada Estoque Fracionado'!A12="","",'Entrada Estoque Fracionado'!E12)</f>
        <v/>
      </c>
      <c r="H106" s="20" t="str">
        <f aca="false">IF('Entrada Estoque Fracionado'!A12="","",'Entrada Estoque Fracionado'!F12)</f>
        <v/>
      </c>
      <c r="I106" s="20" t="str">
        <f aca="false">IF('Entrada Estoque Fracionado'!A12="","",'Entrada Estoque Fracionado'!B12)</f>
        <v/>
      </c>
      <c r="J106" s="20" t="str">
        <f aca="false">IF('Entrada Estoque Fracionado'!A12="","",'Entrada Estoque Fracionado'!J12)</f>
        <v/>
      </c>
      <c r="K106" s="20" t="str">
        <f aca="false">IF('Entrada Estoque Fracionado'!A12="","",'Entrada Estoque Fracionado'!K12)</f>
        <v/>
      </c>
    </row>
    <row r="107" customFormat="false" ht="15" hidden="false" customHeight="false" outlineLevel="0" collapsed="false">
      <c r="A107" s="18" t="str">
        <f aca="false">IF('Entrada Estoque Fracionado'!A13="","",'Entrada Estoque Fracionado'!A13)</f>
        <v/>
      </c>
      <c r="B107" s="20" t="str">
        <f aca="false">IF('Entrada Estoque Fracionado'!A13="","","Entrada Fracionado (Produção)")</f>
        <v/>
      </c>
      <c r="C107" s="20" t="str">
        <f aca="false">IF('Entrada Estoque Fracionado'!A13="","","Produção Lote "&amp;'Entrada Estoque Fracionado'!B13)</f>
        <v/>
      </c>
      <c r="D107" s="20" t="str">
        <f aca="false">IF('Entrada Estoque Fracionado'!A13="","",'Entrada Estoque Fracionado'!I13)</f>
        <v/>
      </c>
      <c r="E107" s="20" t="str">
        <f aca="false">IF('Entrada Estoque Fracionado'!A13="","",'Entrada Estoque Fracionado'!C13)</f>
        <v/>
      </c>
      <c r="F107" s="20" t="str">
        <f aca="false">IF('Entrada Estoque Fracionado'!A13="","",'Entrada Estoque Fracionado'!D13)</f>
        <v/>
      </c>
      <c r="G107" s="20" t="str">
        <f aca="false">IF('Entrada Estoque Fracionado'!A13="","",'Entrada Estoque Fracionado'!E13)</f>
        <v/>
      </c>
      <c r="H107" s="20" t="str">
        <f aca="false">IF('Entrada Estoque Fracionado'!A13="","",'Entrada Estoque Fracionado'!F13)</f>
        <v/>
      </c>
      <c r="I107" s="20" t="str">
        <f aca="false">IF('Entrada Estoque Fracionado'!A13="","",'Entrada Estoque Fracionado'!B13)</f>
        <v/>
      </c>
      <c r="J107" s="20" t="str">
        <f aca="false">IF('Entrada Estoque Fracionado'!A13="","",'Entrada Estoque Fracionado'!J13)</f>
        <v/>
      </c>
      <c r="K107" s="20" t="str">
        <f aca="false">IF('Entrada Estoque Fracionado'!A13="","",'Entrada Estoque Fracionado'!K13)</f>
        <v/>
      </c>
    </row>
    <row r="108" customFormat="false" ht="15" hidden="false" customHeight="false" outlineLevel="0" collapsed="false">
      <c r="A108" s="18" t="str">
        <f aca="false">IF('Entrada Estoque Fracionado'!A14="","",'Entrada Estoque Fracionado'!A14)</f>
        <v/>
      </c>
      <c r="B108" s="20" t="str">
        <f aca="false">IF('Entrada Estoque Fracionado'!A14="","","Entrada Fracionado (Produção)")</f>
        <v/>
      </c>
      <c r="C108" s="20" t="str">
        <f aca="false">IF('Entrada Estoque Fracionado'!A14="","","Produção Lote "&amp;'Entrada Estoque Fracionado'!B14)</f>
        <v/>
      </c>
      <c r="D108" s="20" t="str">
        <f aca="false">IF('Entrada Estoque Fracionado'!A14="","",'Entrada Estoque Fracionado'!I14)</f>
        <v/>
      </c>
      <c r="E108" s="20" t="str">
        <f aca="false">IF('Entrada Estoque Fracionado'!A14="","",'Entrada Estoque Fracionado'!C14)</f>
        <v/>
      </c>
      <c r="F108" s="20" t="str">
        <f aca="false">IF('Entrada Estoque Fracionado'!A14="","",'Entrada Estoque Fracionado'!D14)</f>
        <v/>
      </c>
      <c r="G108" s="20" t="str">
        <f aca="false">IF('Entrada Estoque Fracionado'!A14="","",'Entrada Estoque Fracionado'!E14)</f>
        <v/>
      </c>
      <c r="H108" s="20" t="str">
        <f aca="false">IF('Entrada Estoque Fracionado'!A14="","",'Entrada Estoque Fracionado'!F14)</f>
        <v/>
      </c>
      <c r="I108" s="20" t="str">
        <f aca="false">IF('Entrada Estoque Fracionado'!A14="","",'Entrada Estoque Fracionado'!B14)</f>
        <v/>
      </c>
      <c r="J108" s="20" t="str">
        <f aca="false">IF('Entrada Estoque Fracionado'!A14="","",'Entrada Estoque Fracionado'!J14)</f>
        <v/>
      </c>
      <c r="K108" s="20" t="str">
        <f aca="false">IF('Entrada Estoque Fracionado'!A14="","",'Entrada Estoque Fracionado'!K14)</f>
        <v/>
      </c>
    </row>
    <row r="109" customFormat="false" ht="15" hidden="false" customHeight="false" outlineLevel="0" collapsed="false">
      <c r="A109" s="18" t="str">
        <f aca="false">IF('Entrada Estoque Fracionado'!A15="","",'Entrada Estoque Fracionado'!A15)</f>
        <v/>
      </c>
      <c r="B109" s="20" t="str">
        <f aca="false">IF('Entrada Estoque Fracionado'!A15="","","Entrada Fracionado (Produção)")</f>
        <v/>
      </c>
      <c r="C109" s="20" t="str">
        <f aca="false">IF('Entrada Estoque Fracionado'!A15="","","Produção Lote "&amp;'Entrada Estoque Fracionado'!B15)</f>
        <v/>
      </c>
      <c r="D109" s="20" t="str">
        <f aca="false">IF('Entrada Estoque Fracionado'!A15="","",'Entrada Estoque Fracionado'!I15)</f>
        <v/>
      </c>
      <c r="E109" s="20" t="str">
        <f aca="false">IF('Entrada Estoque Fracionado'!A15="","",'Entrada Estoque Fracionado'!C15)</f>
        <v/>
      </c>
      <c r="F109" s="20" t="str">
        <f aca="false">IF('Entrada Estoque Fracionado'!A15="","",'Entrada Estoque Fracionado'!D15)</f>
        <v/>
      </c>
      <c r="G109" s="20" t="str">
        <f aca="false">IF('Entrada Estoque Fracionado'!A15="","",'Entrada Estoque Fracionado'!E15)</f>
        <v/>
      </c>
      <c r="H109" s="20" t="str">
        <f aca="false">IF('Entrada Estoque Fracionado'!A15="","",'Entrada Estoque Fracionado'!F15)</f>
        <v/>
      </c>
      <c r="I109" s="20" t="str">
        <f aca="false">IF('Entrada Estoque Fracionado'!A15="","",'Entrada Estoque Fracionado'!B15)</f>
        <v/>
      </c>
      <c r="J109" s="20" t="str">
        <f aca="false">IF('Entrada Estoque Fracionado'!A15="","",'Entrada Estoque Fracionado'!J15)</f>
        <v/>
      </c>
      <c r="K109" s="20" t="str">
        <f aca="false">IF('Entrada Estoque Fracionado'!A15="","",'Entrada Estoque Fracionado'!K15)</f>
        <v/>
      </c>
    </row>
    <row r="110" customFormat="false" ht="15" hidden="false" customHeight="false" outlineLevel="0" collapsed="false">
      <c r="A110" s="18" t="str">
        <f aca="false">IF('Entrada Estoque Fracionado'!A16="","",'Entrada Estoque Fracionado'!A16)</f>
        <v/>
      </c>
      <c r="B110" s="20" t="str">
        <f aca="false">IF('Entrada Estoque Fracionado'!A16="","","Entrada Fracionado (Produção)")</f>
        <v/>
      </c>
      <c r="C110" s="20" t="str">
        <f aca="false">IF('Entrada Estoque Fracionado'!A16="","","Produção Lote "&amp;'Entrada Estoque Fracionado'!B16)</f>
        <v/>
      </c>
      <c r="D110" s="20" t="str">
        <f aca="false">IF('Entrada Estoque Fracionado'!A16="","",'Entrada Estoque Fracionado'!I16)</f>
        <v/>
      </c>
      <c r="E110" s="20" t="str">
        <f aca="false">IF('Entrada Estoque Fracionado'!A16="","",'Entrada Estoque Fracionado'!C16)</f>
        <v/>
      </c>
      <c r="F110" s="20" t="str">
        <f aca="false">IF('Entrada Estoque Fracionado'!A16="","",'Entrada Estoque Fracionado'!D16)</f>
        <v/>
      </c>
      <c r="G110" s="20" t="str">
        <f aca="false">IF('Entrada Estoque Fracionado'!A16="","",'Entrada Estoque Fracionado'!E16)</f>
        <v/>
      </c>
      <c r="H110" s="20" t="str">
        <f aca="false">IF('Entrada Estoque Fracionado'!A16="","",'Entrada Estoque Fracionado'!F16)</f>
        <v/>
      </c>
      <c r="I110" s="20" t="str">
        <f aca="false">IF('Entrada Estoque Fracionado'!A16="","",'Entrada Estoque Fracionado'!B16)</f>
        <v/>
      </c>
      <c r="J110" s="20" t="str">
        <f aca="false">IF('Entrada Estoque Fracionado'!A16="","",'Entrada Estoque Fracionado'!J16)</f>
        <v/>
      </c>
      <c r="K110" s="20" t="str">
        <f aca="false">IF('Entrada Estoque Fracionado'!A16="","",'Entrada Estoque Fracionado'!K16)</f>
        <v/>
      </c>
    </row>
    <row r="111" customFormat="false" ht="15" hidden="false" customHeight="false" outlineLevel="0" collapsed="false">
      <c r="A111" s="18" t="str">
        <f aca="false">IF('Entrada Estoque Fracionado'!A17="","",'Entrada Estoque Fracionado'!A17)</f>
        <v/>
      </c>
      <c r="B111" s="20" t="str">
        <f aca="false">IF('Entrada Estoque Fracionado'!A17="","","Entrada Fracionado (Produção)")</f>
        <v/>
      </c>
      <c r="C111" s="20" t="str">
        <f aca="false">IF('Entrada Estoque Fracionado'!A17="","","Produção Lote "&amp;'Entrada Estoque Fracionado'!B17)</f>
        <v/>
      </c>
      <c r="D111" s="20" t="str">
        <f aca="false">IF('Entrada Estoque Fracionado'!A17="","",'Entrada Estoque Fracionado'!I17)</f>
        <v/>
      </c>
      <c r="E111" s="20" t="str">
        <f aca="false">IF('Entrada Estoque Fracionado'!A17="","",'Entrada Estoque Fracionado'!C17)</f>
        <v/>
      </c>
      <c r="F111" s="20" t="str">
        <f aca="false">IF('Entrada Estoque Fracionado'!A17="","",'Entrada Estoque Fracionado'!D17)</f>
        <v/>
      </c>
      <c r="G111" s="20" t="str">
        <f aca="false">IF('Entrada Estoque Fracionado'!A17="","",'Entrada Estoque Fracionado'!E17)</f>
        <v/>
      </c>
      <c r="H111" s="20" t="str">
        <f aca="false">IF('Entrada Estoque Fracionado'!A17="","",'Entrada Estoque Fracionado'!F17)</f>
        <v/>
      </c>
      <c r="I111" s="20" t="str">
        <f aca="false">IF('Entrada Estoque Fracionado'!A17="","",'Entrada Estoque Fracionado'!B17)</f>
        <v/>
      </c>
      <c r="J111" s="20" t="str">
        <f aca="false">IF('Entrada Estoque Fracionado'!A17="","",'Entrada Estoque Fracionado'!J17)</f>
        <v/>
      </c>
      <c r="K111" s="20" t="str">
        <f aca="false">IF('Entrada Estoque Fracionado'!A17="","",'Entrada Estoque Fracionado'!K17)</f>
        <v/>
      </c>
    </row>
    <row r="112" customFormat="false" ht="15" hidden="false" customHeight="false" outlineLevel="0" collapsed="false">
      <c r="A112" s="18" t="str">
        <f aca="false">IF('Entrada Estoque Fracionado'!A18="","",'Entrada Estoque Fracionado'!A18)</f>
        <v/>
      </c>
      <c r="B112" s="20" t="str">
        <f aca="false">IF('Entrada Estoque Fracionado'!A18="","","Entrada Fracionado (Produção)")</f>
        <v/>
      </c>
      <c r="C112" s="20" t="str">
        <f aca="false">IF('Entrada Estoque Fracionado'!A18="","","Produção Lote "&amp;'Entrada Estoque Fracionado'!B18)</f>
        <v/>
      </c>
      <c r="D112" s="20" t="str">
        <f aca="false">IF('Entrada Estoque Fracionado'!A18="","",'Entrada Estoque Fracionado'!I18)</f>
        <v/>
      </c>
      <c r="E112" s="20" t="str">
        <f aca="false">IF('Entrada Estoque Fracionado'!A18="","",'Entrada Estoque Fracionado'!C18)</f>
        <v/>
      </c>
      <c r="F112" s="20" t="str">
        <f aca="false">IF('Entrada Estoque Fracionado'!A18="","",'Entrada Estoque Fracionado'!D18)</f>
        <v/>
      </c>
      <c r="G112" s="20" t="str">
        <f aca="false">IF('Entrada Estoque Fracionado'!A18="","",'Entrada Estoque Fracionado'!E18)</f>
        <v/>
      </c>
      <c r="H112" s="20" t="str">
        <f aca="false">IF('Entrada Estoque Fracionado'!A18="","",'Entrada Estoque Fracionado'!F18)</f>
        <v/>
      </c>
      <c r="I112" s="20" t="str">
        <f aca="false">IF('Entrada Estoque Fracionado'!A18="","",'Entrada Estoque Fracionado'!B18)</f>
        <v/>
      </c>
      <c r="J112" s="20" t="str">
        <f aca="false">IF('Entrada Estoque Fracionado'!A18="","",'Entrada Estoque Fracionado'!J18)</f>
        <v/>
      </c>
      <c r="K112" s="20" t="str">
        <f aca="false">IF('Entrada Estoque Fracionado'!A18="","",'Entrada Estoque Fracionado'!K18)</f>
        <v/>
      </c>
    </row>
    <row r="113" customFormat="false" ht="15" hidden="false" customHeight="false" outlineLevel="0" collapsed="false">
      <c r="A113" s="18" t="str">
        <f aca="false">IF('Entrada Estoque Fracionado'!A19="","",'Entrada Estoque Fracionado'!A19)</f>
        <v/>
      </c>
      <c r="B113" s="20" t="str">
        <f aca="false">IF('Entrada Estoque Fracionado'!A19="","","Entrada Fracionado (Produção)")</f>
        <v/>
      </c>
      <c r="C113" s="20" t="str">
        <f aca="false">IF('Entrada Estoque Fracionado'!A19="","","Produção Lote "&amp;'Entrada Estoque Fracionado'!B19)</f>
        <v/>
      </c>
      <c r="D113" s="20" t="str">
        <f aca="false">IF('Entrada Estoque Fracionado'!A19="","",'Entrada Estoque Fracionado'!I19)</f>
        <v/>
      </c>
      <c r="E113" s="20" t="str">
        <f aca="false">IF('Entrada Estoque Fracionado'!A19="","",'Entrada Estoque Fracionado'!C19)</f>
        <v/>
      </c>
      <c r="F113" s="20" t="str">
        <f aca="false">IF('Entrada Estoque Fracionado'!A19="","",'Entrada Estoque Fracionado'!D19)</f>
        <v/>
      </c>
      <c r="G113" s="20" t="str">
        <f aca="false">IF('Entrada Estoque Fracionado'!A19="","",'Entrada Estoque Fracionado'!E19)</f>
        <v/>
      </c>
      <c r="H113" s="20" t="str">
        <f aca="false">IF('Entrada Estoque Fracionado'!A19="","",'Entrada Estoque Fracionado'!F19)</f>
        <v/>
      </c>
      <c r="I113" s="20" t="str">
        <f aca="false">IF('Entrada Estoque Fracionado'!A19="","",'Entrada Estoque Fracionado'!B19)</f>
        <v/>
      </c>
      <c r="J113" s="20" t="str">
        <f aca="false">IF('Entrada Estoque Fracionado'!A19="","",'Entrada Estoque Fracionado'!J19)</f>
        <v/>
      </c>
      <c r="K113" s="20" t="str">
        <f aca="false">IF('Entrada Estoque Fracionado'!A19="","",'Entrada Estoque Fracionado'!K19)</f>
        <v/>
      </c>
    </row>
    <row r="114" customFormat="false" ht="15" hidden="false" customHeight="false" outlineLevel="0" collapsed="false">
      <c r="A114" s="18" t="str">
        <f aca="false">IF('Entrada Estoque Fracionado'!A20="","",'Entrada Estoque Fracionado'!A20)</f>
        <v/>
      </c>
      <c r="B114" s="20" t="str">
        <f aca="false">IF('Entrada Estoque Fracionado'!A20="","","Entrada Fracionado (Produção)")</f>
        <v/>
      </c>
      <c r="C114" s="20" t="str">
        <f aca="false">IF('Entrada Estoque Fracionado'!A20="","","Produção Lote "&amp;'Entrada Estoque Fracionado'!B20)</f>
        <v/>
      </c>
      <c r="D114" s="20" t="str">
        <f aca="false">IF('Entrada Estoque Fracionado'!A20="","",'Entrada Estoque Fracionado'!I20)</f>
        <v/>
      </c>
      <c r="E114" s="20" t="str">
        <f aca="false">IF('Entrada Estoque Fracionado'!A20="","",'Entrada Estoque Fracionado'!C20)</f>
        <v/>
      </c>
      <c r="F114" s="20" t="str">
        <f aca="false">IF('Entrada Estoque Fracionado'!A20="","",'Entrada Estoque Fracionado'!D20)</f>
        <v/>
      </c>
      <c r="G114" s="20" t="str">
        <f aca="false">IF('Entrada Estoque Fracionado'!A20="","",'Entrada Estoque Fracionado'!E20)</f>
        <v/>
      </c>
      <c r="H114" s="20" t="str">
        <f aca="false">IF('Entrada Estoque Fracionado'!A20="","",'Entrada Estoque Fracionado'!F20)</f>
        <v/>
      </c>
      <c r="I114" s="20" t="str">
        <f aca="false">IF('Entrada Estoque Fracionado'!A20="","",'Entrada Estoque Fracionado'!B20)</f>
        <v/>
      </c>
      <c r="J114" s="20" t="str">
        <f aca="false">IF('Entrada Estoque Fracionado'!A20="","",'Entrada Estoque Fracionado'!J20)</f>
        <v/>
      </c>
      <c r="K114" s="20" t="str">
        <f aca="false">IF('Entrada Estoque Fracionado'!A20="","",'Entrada Estoque Fracionado'!K20)</f>
        <v/>
      </c>
    </row>
    <row r="115" customFormat="false" ht="15" hidden="false" customHeight="false" outlineLevel="0" collapsed="false">
      <c r="A115" s="18" t="str">
        <f aca="false">IF('Entrada Estoque Fracionado'!A21="","",'Entrada Estoque Fracionado'!A21)</f>
        <v/>
      </c>
      <c r="B115" s="20" t="str">
        <f aca="false">IF('Entrada Estoque Fracionado'!A21="","","Entrada Fracionado (Produção)")</f>
        <v/>
      </c>
      <c r="C115" s="20" t="str">
        <f aca="false">IF('Entrada Estoque Fracionado'!A21="","","Produção Lote "&amp;'Entrada Estoque Fracionado'!B21)</f>
        <v/>
      </c>
      <c r="D115" s="20" t="str">
        <f aca="false">IF('Entrada Estoque Fracionado'!A21="","",'Entrada Estoque Fracionado'!I21)</f>
        <v/>
      </c>
      <c r="E115" s="20" t="str">
        <f aca="false">IF('Entrada Estoque Fracionado'!A21="","",'Entrada Estoque Fracionado'!C21)</f>
        <v/>
      </c>
      <c r="F115" s="20" t="str">
        <f aca="false">IF('Entrada Estoque Fracionado'!A21="","",'Entrada Estoque Fracionado'!D21)</f>
        <v/>
      </c>
      <c r="G115" s="20" t="str">
        <f aca="false">IF('Entrada Estoque Fracionado'!A21="","",'Entrada Estoque Fracionado'!E21)</f>
        <v/>
      </c>
      <c r="H115" s="20" t="str">
        <f aca="false">IF('Entrada Estoque Fracionado'!A21="","",'Entrada Estoque Fracionado'!F21)</f>
        <v/>
      </c>
      <c r="I115" s="20" t="str">
        <f aca="false">IF('Entrada Estoque Fracionado'!A21="","",'Entrada Estoque Fracionado'!B21)</f>
        <v/>
      </c>
      <c r="J115" s="20" t="str">
        <f aca="false">IF('Entrada Estoque Fracionado'!A21="","",'Entrada Estoque Fracionado'!J21)</f>
        <v/>
      </c>
      <c r="K115" s="20" t="str">
        <f aca="false">IF('Entrada Estoque Fracionado'!A21="","",'Entrada Estoque Fracionado'!K21)</f>
        <v/>
      </c>
    </row>
    <row r="116" customFormat="false" ht="15" hidden="false" customHeight="false" outlineLevel="0" collapsed="false">
      <c r="A116" s="18" t="str">
        <f aca="false">IF('Entrada Estoque Fracionado'!A22="","",'Entrada Estoque Fracionado'!A22)</f>
        <v/>
      </c>
      <c r="B116" s="20" t="str">
        <f aca="false">IF('Entrada Estoque Fracionado'!A22="","","Entrada Fracionado (Produção)")</f>
        <v/>
      </c>
      <c r="C116" s="20" t="str">
        <f aca="false">IF('Entrada Estoque Fracionado'!A22="","","Produção Lote "&amp;'Entrada Estoque Fracionado'!B22)</f>
        <v/>
      </c>
      <c r="D116" s="20" t="str">
        <f aca="false">IF('Entrada Estoque Fracionado'!A22="","",'Entrada Estoque Fracionado'!I22)</f>
        <v/>
      </c>
      <c r="E116" s="20" t="str">
        <f aca="false">IF('Entrada Estoque Fracionado'!A22="","",'Entrada Estoque Fracionado'!C22)</f>
        <v/>
      </c>
      <c r="F116" s="20" t="str">
        <f aca="false">IF('Entrada Estoque Fracionado'!A22="","",'Entrada Estoque Fracionado'!D22)</f>
        <v/>
      </c>
      <c r="G116" s="20" t="str">
        <f aca="false">IF('Entrada Estoque Fracionado'!A22="","",'Entrada Estoque Fracionado'!E22)</f>
        <v/>
      </c>
      <c r="H116" s="20" t="str">
        <f aca="false">IF('Entrada Estoque Fracionado'!A22="","",'Entrada Estoque Fracionado'!F22)</f>
        <v/>
      </c>
      <c r="I116" s="20" t="str">
        <f aca="false">IF('Entrada Estoque Fracionado'!A22="","",'Entrada Estoque Fracionado'!B22)</f>
        <v/>
      </c>
      <c r="J116" s="20" t="str">
        <f aca="false">IF('Entrada Estoque Fracionado'!A22="","",'Entrada Estoque Fracionado'!J22)</f>
        <v/>
      </c>
      <c r="K116" s="20" t="str">
        <f aca="false">IF('Entrada Estoque Fracionado'!A22="","",'Entrada Estoque Fracionado'!K22)</f>
        <v/>
      </c>
    </row>
    <row r="117" customFormat="false" ht="15" hidden="false" customHeight="false" outlineLevel="0" collapsed="false">
      <c r="A117" s="18" t="str">
        <f aca="false">IF('Entrada Estoque Fracionado'!A23="","",'Entrada Estoque Fracionado'!A23)</f>
        <v/>
      </c>
      <c r="B117" s="20" t="str">
        <f aca="false">IF('Entrada Estoque Fracionado'!A23="","","Entrada Fracionado (Produção)")</f>
        <v/>
      </c>
      <c r="C117" s="20" t="str">
        <f aca="false">IF('Entrada Estoque Fracionado'!A23="","","Produção Lote "&amp;'Entrada Estoque Fracionado'!B23)</f>
        <v/>
      </c>
      <c r="D117" s="20" t="str">
        <f aca="false">IF('Entrada Estoque Fracionado'!A23="","",'Entrada Estoque Fracionado'!I23)</f>
        <v/>
      </c>
      <c r="E117" s="20" t="str">
        <f aca="false">IF('Entrada Estoque Fracionado'!A23="","",'Entrada Estoque Fracionado'!C23)</f>
        <v/>
      </c>
      <c r="F117" s="20" t="str">
        <f aca="false">IF('Entrada Estoque Fracionado'!A23="","",'Entrada Estoque Fracionado'!D23)</f>
        <v/>
      </c>
      <c r="G117" s="20" t="str">
        <f aca="false">IF('Entrada Estoque Fracionado'!A23="","",'Entrada Estoque Fracionado'!E23)</f>
        <v/>
      </c>
      <c r="H117" s="20" t="str">
        <f aca="false">IF('Entrada Estoque Fracionado'!A23="","",'Entrada Estoque Fracionado'!F23)</f>
        <v/>
      </c>
      <c r="I117" s="20" t="str">
        <f aca="false">IF('Entrada Estoque Fracionado'!A23="","",'Entrada Estoque Fracionado'!B23)</f>
        <v/>
      </c>
      <c r="J117" s="20" t="str">
        <f aca="false">IF('Entrada Estoque Fracionado'!A23="","",'Entrada Estoque Fracionado'!J23)</f>
        <v/>
      </c>
      <c r="K117" s="20" t="str">
        <f aca="false">IF('Entrada Estoque Fracionado'!A23="","",'Entrada Estoque Fracionado'!K23)</f>
        <v/>
      </c>
    </row>
    <row r="118" customFormat="false" ht="15" hidden="false" customHeight="false" outlineLevel="0" collapsed="false">
      <c r="A118" s="18" t="str">
        <f aca="false">IF('Entrada Estoque Fracionado'!A24="","",'Entrada Estoque Fracionado'!A24)</f>
        <v/>
      </c>
      <c r="B118" s="20" t="str">
        <f aca="false">IF('Entrada Estoque Fracionado'!A24="","","Entrada Fracionado (Produção)")</f>
        <v/>
      </c>
      <c r="C118" s="20" t="str">
        <f aca="false">IF('Entrada Estoque Fracionado'!A24="","","Produção Lote "&amp;'Entrada Estoque Fracionado'!B24)</f>
        <v/>
      </c>
      <c r="D118" s="20" t="str">
        <f aca="false">IF('Entrada Estoque Fracionado'!A24="","",'Entrada Estoque Fracionado'!I24)</f>
        <v/>
      </c>
      <c r="E118" s="20" t="str">
        <f aca="false">IF('Entrada Estoque Fracionado'!A24="","",'Entrada Estoque Fracionado'!C24)</f>
        <v/>
      </c>
      <c r="F118" s="20" t="str">
        <f aca="false">IF('Entrada Estoque Fracionado'!A24="","",'Entrada Estoque Fracionado'!D24)</f>
        <v/>
      </c>
      <c r="G118" s="20" t="str">
        <f aca="false">IF('Entrada Estoque Fracionado'!A24="","",'Entrada Estoque Fracionado'!E24)</f>
        <v/>
      </c>
      <c r="H118" s="20" t="str">
        <f aca="false">IF('Entrada Estoque Fracionado'!A24="","",'Entrada Estoque Fracionado'!F24)</f>
        <v/>
      </c>
      <c r="I118" s="20" t="str">
        <f aca="false">IF('Entrada Estoque Fracionado'!A24="","",'Entrada Estoque Fracionado'!B24)</f>
        <v/>
      </c>
      <c r="J118" s="20" t="str">
        <f aca="false">IF('Entrada Estoque Fracionado'!A24="","",'Entrada Estoque Fracionado'!J24)</f>
        <v/>
      </c>
      <c r="K118" s="20" t="str">
        <f aca="false">IF('Entrada Estoque Fracionado'!A24="","",'Entrada Estoque Fracionado'!K24)</f>
        <v/>
      </c>
    </row>
    <row r="119" customFormat="false" ht="15" hidden="false" customHeight="false" outlineLevel="0" collapsed="false">
      <c r="A119" s="18" t="str">
        <f aca="false">IF('Entrada Estoque Fracionado'!A25="","",'Entrada Estoque Fracionado'!A25)</f>
        <v/>
      </c>
      <c r="B119" s="20" t="str">
        <f aca="false">IF('Entrada Estoque Fracionado'!A25="","","Entrada Fracionado (Produção)")</f>
        <v/>
      </c>
      <c r="C119" s="20" t="str">
        <f aca="false">IF('Entrada Estoque Fracionado'!A25="","","Produção Lote "&amp;'Entrada Estoque Fracionado'!B25)</f>
        <v/>
      </c>
      <c r="D119" s="20" t="str">
        <f aca="false">IF('Entrada Estoque Fracionado'!A25="","",'Entrada Estoque Fracionado'!I25)</f>
        <v/>
      </c>
      <c r="E119" s="20" t="str">
        <f aca="false">IF('Entrada Estoque Fracionado'!A25="","",'Entrada Estoque Fracionado'!C25)</f>
        <v/>
      </c>
      <c r="F119" s="20" t="str">
        <f aca="false">IF('Entrada Estoque Fracionado'!A25="","",'Entrada Estoque Fracionado'!D25)</f>
        <v/>
      </c>
      <c r="G119" s="20" t="str">
        <f aca="false">IF('Entrada Estoque Fracionado'!A25="","",'Entrada Estoque Fracionado'!E25)</f>
        <v/>
      </c>
      <c r="H119" s="20" t="str">
        <f aca="false">IF('Entrada Estoque Fracionado'!A25="","",'Entrada Estoque Fracionado'!F25)</f>
        <v/>
      </c>
      <c r="I119" s="20" t="str">
        <f aca="false">IF('Entrada Estoque Fracionado'!A25="","",'Entrada Estoque Fracionado'!B25)</f>
        <v/>
      </c>
      <c r="J119" s="20" t="str">
        <f aca="false">IF('Entrada Estoque Fracionado'!A25="","",'Entrada Estoque Fracionado'!J25)</f>
        <v/>
      </c>
      <c r="K119" s="20" t="str">
        <f aca="false">IF('Entrada Estoque Fracionado'!A25="","",'Entrada Estoque Fracionado'!K25)</f>
        <v/>
      </c>
    </row>
    <row r="120" customFormat="false" ht="15" hidden="false" customHeight="false" outlineLevel="0" collapsed="false">
      <c r="A120" s="18" t="str">
        <f aca="false">IF('Entrada Estoque Fracionado'!A26="","",'Entrada Estoque Fracionado'!A26)</f>
        <v/>
      </c>
      <c r="B120" s="20" t="str">
        <f aca="false">IF('Entrada Estoque Fracionado'!A26="","","Entrada Fracionado (Produção)")</f>
        <v/>
      </c>
      <c r="C120" s="20" t="str">
        <f aca="false">IF('Entrada Estoque Fracionado'!A26="","","Produção Lote "&amp;'Entrada Estoque Fracionado'!B26)</f>
        <v/>
      </c>
      <c r="D120" s="20" t="str">
        <f aca="false">IF('Entrada Estoque Fracionado'!A26="","",'Entrada Estoque Fracionado'!I26)</f>
        <v/>
      </c>
      <c r="E120" s="20" t="str">
        <f aca="false">IF('Entrada Estoque Fracionado'!A26="","",'Entrada Estoque Fracionado'!C26)</f>
        <v/>
      </c>
      <c r="F120" s="20" t="str">
        <f aca="false">IF('Entrada Estoque Fracionado'!A26="","",'Entrada Estoque Fracionado'!D26)</f>
        <v/>
      </c>
      <c r="G120" s="20" t="str">
        <f aca="false">IF('Entrada Estoque Fracionado'!A26="","",'Entrada Estoque Fracionado'!E26)</f>
        <v/>
      </c>
      <c r="H120" s="20" t="str">
        <f aca="false">IF('Entrada Estoque Fracionado'!A26="","",'Entrada Estoque Fracionado'!F26)</f>
        <v/>
      </c>
      <c r="I120" s="20" t="str">
        <f aca="false">IF('Entrada Estoque Fracionado'!A26="","",'Entrada Estoque Fracionado'!B26)</f>
        <v/>
      </c>
      <c r="J120" s="20" t="str">
        <f aca="false">IF('Entrada Estoque Fracionado'!A26="","",'Entrada Estoque Fracionado'!J26)</f>
        <v/>
      </c>
      <c r="K120" s="20" t="str">
        <f aca="false">IF('Entrada Estoque Fracionado'!A26="","",'Entrada Estoque Fracionado'!K26)</f>
        <v/>
      </c>
    </row>
    <row r="121" customFormat="false" ht="15" hidden="false" customHeight="false" outlineLevel="0" collapsed="false">
      <c r="A121" s="18" t="str">
        <f aca="false">IF('Entrada Estoque Fracionado'!A27="","",'Entrada Estoque Fracionado'!A27)</f>
        <v/>
      </c>
      <c r="B121" s="20" t="str">
        <f aca="false">IF('Entrada Estoque Fracionado'!A27="","","Entrada Fracionado (Produção)")</f>
        <v/>
      </c>
      <c r="C121" s="20" t="str">
        <f aca="false">IF('Entrada Estoque Fracionado'!A27="","","Produção Lote "&amp;'Entrada Estoque Fracionado'!B27)</f>
        <v/>
      </c>
      <c r="D121" s="20" t="str">
        <f aca="false">IF('Entrada Estoque Fracionado'!A27="","",'Entrada Estoque Fracionado'!I27)</f>
        <v/>
      </c>
      <c r="E121" s="20" t="str">
        <f aca="false">IF('Entrada Estoque Fracionado'!A27="","",'Entrada Estoque Fracionado'!C27)</f>
        <v/>
      </c>
      <c r="F121" s="20" t="str">
        <f aca="false">IF('Entrada Estoque Fracionado'!A27="","",'Entrada Estoque Fracionado'!D27)</f>
        <v/>
      </c>
      <c r="G121" s="20" t="str">
        <f aca="false">IF('Entrada Estoque Fracionado'!A27="","",'Entrada Estoque Fracionado'!E27)</f>
        <v/>
      </c>
      <c r="H121" s="20" t="str">
        <f aca="false">IF('Entrada Estoque Fracionado'!A27="","",'Entrada Estoque Fracionado'!F27)</f>
        <v/>
      </c>
      <c r="I121" s="20" t="str">
        <f aca="false">IF('Entrada Estoque Fracionado'!A27="","",'Entrada Estoque Fracionado'!B27)</f>
        <v/>
      </c>
      <c r="J121" s="20" t="str">
        <f aca="false">IF('Entrada Estoque Fracionado'!A27="","",'Entrada Estoque Fracionado'!J27)</f>
        <v/>
      </c>
      <c r="K121" s="20" t="str">
        <f aca="false">IF('Entrada Estoque Fracionado'!A27="","",'Entrada Estoque Fracionado'!K27)</f>
        <v/>
      </c>
    </row>
    <row r="122" customFormat="false" ht="15" hidden="false" customHeight="false" outlineLevel="0" collapsed="false">
      <c r="A122" s="18" t="str">
        <f aca="false">IF('Entrada Estoque Fracionado'!A28="","",'Entrada Estoque Fracionado'!A28)</f>
        <v/>
      </c>
      <c r="B122" s="20" t="str">
        <f aca="false">IF('Entrada Estoque Fracionado'!A28="","","Entrada Fracionado (Produção)")</f>
        <v/>
      </c>
      <c r="C122" s="20" t="str">
        <f aca="false">IF('Entrada Estoque Fracionado'!A28="","","Produção Lote "&amp;'Entrada Estoque Fracionado'!B28)</f>
        <v/>
      </c>
      <c r="D122" s="20" t="str">
        <f aca="false">IF('Entrada Estoque Fracionado'!A28="","",'Entrada Estoque Fracionado'!I28)</f>
        <v/>
      </c>
      <c r="E122" s="20" t="str">
        <f aca="false">IF('Entrada Estoque Fracionado'!A28="","",'Entrada Estoque Fracionado'!C28)</f>
        <v/>
      </c>
      <c r="F122" s="20" t="str">
        <f aca="false">IF('Entrada Estoque Fracionado'!A28="","",'Entrada Estoque Fracionado'!D28)</f>
        <v/>
      </c>
      <c r="G122" s="20" t="str">
        <f aca="false">IF('Entrada Estoque Fracionado'!A28="","",'Entrada Estoque Fracionado'!E28)</f>
        <v/>
      </c>
      <c r="H122" s="20" t="str">
        <f aca="false">IF('Entrada Estoque Fracionado'!A28="","",'Entrada Estoque Fracionado'!F28)</f>
        <v/>
      </c>
      <c r="I122" s="20" t="str">
        <f aca="false">IF('Entrada Estoque Fracionado'!A28="","",'Entrada Estoque Fracionado'!B28)</f>
        <v/>
      </c>
      <c r="J122" s="20" t="str">
        <f aca="false">IF('Entrada Estoque Fracionado'!A28="","",'Entrada Estoque Fracionado'!J28)</f>
        <v/>
      </c>
      <c r="K122" s="20" t="str">
        <f aca="false">IF('Entrada Estoque Fracionado'!A28="","",'Entrada Estoque Fracionado'!K28)</f>
        <v/>
      </c>
    </row>
    <row r="123" customFormat="false" ht="15" hidden="false" customHeight="false" outlineLevel="0" collapsed="false">
      <c r="A123" s="18" t="str">
        <f aca="false">IF('Entrada Estoque Fracionado'!A29="","",'Entrada Estoque Fracionado'!A29)</f>
        <v/>
      </c>
      <c r="B123" s="20" t="str">
        <f aca="false">IF('Entrada Estoque Fracionado'!A29="","","Entrada Fracionado (Produção)")</f>
        <v/>
      </c>
      <c r="C123" s="20" t="str">
        <f aca="false">IF('Entrada Estoque Fracionado'!A29="","","Produção Lote "&amp;'Entrada Estoque Fracionado'!B29)</f>
        <v/>
      </c>
      <c r="D123" s="20" t="str">
        <f aca="false">IF('Entrada Estoque Fracionado'!A29="","",'Entrada Estoque Fracionado'!I29)</f>
        <v/>
      </c>
      <c r="E123" s="20" t="str">
        <f aca="false">IF('Entrada Estoque Fracionado'!A29="","",'Entrada Estoque Fracionado'!C29)</f>
        <v/>
      </c>
      <c r="F123" s="20" t="str">
        <f aca="false">IF('Entrada Estoque Fracionado'!A29="","",'Entrada Estoque Fracionado'!D29)</f>
        <v/>
      </c>
      <c r="G123" s="20" t="str">
        <f aca="false">IF('Entrada Estoque Fracionado'!A29="","",'Entrada Estoque Fracionado'!E29)</f>
        <v/>
      </c>
      <c r="H123" s="20" t="str">
        <f aca="false">IF('Entrada Estoque Fracionado'!A29="","",'Entrada Estoque Fracionado'!F29)</f>
        <v/>
      </c>
      <c r="I123" s="20" t="str">
        <f aca="false">IF('Entrada Estoque Fracionado'!A29="","",'Entrada Estoque Fracionado'!B29)</f>
        <v/>
      </c>
      <c r="J123" s="20" t="str">
        <f aca="false">IF('Entrada Estoque Fracionado'!A29="","",'Entrada Estoque Fracionado'!J29)</f>
        <v/>
      </c>
      <c r="K123" s="20" t="str">
        <f aca="false">IF('Entrada Estoque Fracionado'!A29="","",'Entrada Estoque Fracionado'!K29)</f>
        <v/>
      </c>
    </row>
    <row r="124" customFormat="false" ht="15" hidden="false" customHeight="false" outlineLevel="0" collapsed="false">
      <c r="A124" s="18" t="str">
        <f aca="false">IF('Entrada Estoque Fracionado'!A30="","",'Entrada Estoque Fracionado'!A30)</f>
        <v/>
      </c>
      <c r="B124" s="20" t="str">
        <f aca="false">IF('Entrada Estoque Fracionado'!A30="","","Entrada Fracionado (Produção)")</f>
        <v/>
      </c>
      <c r="C124" s="20" t="str">
        <f aca="false">IF('Entrada Estoque Fracionado'!A30="","","Produção Lote "&amp;'Entrada Estoque Fracionado'!B30)</f>
        <v/>
      </c>
      <c r="D124" s="20" t="str">
        <f aca="false">IF('Entrada Estoque Fracionado'!A30="","",'Entrada Estoque Fracionado'!I30)</f>
        <v/>
      </c>
      <c r="E124" s="20" t="str">
        <f aca="false">IF('Entrada Estoque Fracionado'!A30="","",'Entrada Estoque Fracionado'!C30)</f>
        <v/>
      </c>
      <c r="F124" s="20" t="str">
        <f aca="false">IF('Entrada Estoque Fracionado'!A30="","",'Entrada Estoque Fracionado'!D30)</f>
        <v/>
      </c>
      <c r="G124" s="20" t="str">
        <f aca="false">IF('Entrada Estoque Fracionado'!A30="","",'Entrada Estoque Fracionado'!E30)</f>
        <v/>
      </c>
      <c r="H124" s="20" t="str">
        <f aca="false">IF('Entrada Estoque Fracionado'!A30="","",'Entrada Estoque Fracionado'!F30)</f>
        <v/>
      </c>
      <c r="I124" s="20" t="str">
        <f aca="false">IF('Entrada Estoque Fracionado'!A30="","",'Entrada Estoque Fracionado'!B30)</f>
        <v/>
      </c>
      <c r="J124" s="20" t="str">
        <f aca="false">IF('Entrada Estoque Fracionado'!A30="","",'Entrada Estoque Fracionado'!J30)</f>
        <v/>
      </c>
      <c r="K124" s="20" t="str">
        <f aca="false">IF('Entrada Estoque Fracionado'!A30="","",'Entrada Estoque Fracionado'!K30)</f>
        <v/>
      </c>
    </row>
    <row r="125" customFormat="false" ht="15" hidden="false" customHeight="false" outlineLevel="0" collapsed="false">
      <c r="A125" s="18" t="str">
        <f aca="false">IF('Entrada Estoque Fracionado'!A31="","",'Entrada Estoque Fracionado'!A31)</f>
        <v/>
      </c>
      <c r="B125" s="20" t="str">
        <f aca="false">IF('Entrada Estoque Fracionado'!A31="","","Entrada Fracionado (Produção)")</f>
        <v/>
      </c>
      <c r="C125" s="20" t="str">
        <f aca="false">IF('Entrada Estoque Fracionado'!A31="","","Produção Lote "&amp;'Entrada Estoque Fracionado'!B31)</f>
        <v/>
      </c>
      <c r="D125" s="20" t="str">
        <f aca="false">IF('Entrada Estoque Fracionado'!A31="","",'Entrada Estoque Fracionado'!I31)</f>
        <v/>
      </c>
      <c r="E125" s="20" t="str">
        <f aca="false">IF('Entrada Estoque Fracionado'!A31="","",'Entrada Estoque Fracionado'!C31)</f>
        <v/>
      </c>
      <c r="F125" s="20" t="str">
        <f aca="false">IF('Entrada Estoque Fracionado'!A31="","",'Entrada Estoque Fracionado'!D31)</f>
        <v/>
      </c>
      <c r="G125" s="20" t="str">
        <f aca="false">IF('Entrada Estoque Fracionado'!A31="","",'Entrada Estoque Fracionado'!E31)</f>
        <v/>
      </c>
      <c r="H125" s="20" t="str">
        <f aca="false">IF('Entrada Estoque Fracionado'!A31="","",'Entrada Estoque Fracionado'!F31)</f>
        <v/>
      </c>
      <c r="I125" s="20" t="str">
        <f aca="false">IF('Entrada Estoque Fracionado'!A31="","",'Entrada Estoque Fracionado'!B31)</f>
        <v/>
      </c>
      <c r="J125" s="20" t="str">
        <f aca="false">IF('Entrada Estoque Fracionado'!A31="","",'Entrada Estoque Fracionado'!J31)</f>
        <v/>
      </c>
      <c r="K125" s="20" t="str">
        <f aca="false">IF('Entrada Estoque Fracionado'!A31="","",'Entrada Estoque Fracionado'!K31)</f>
        <v/>
      </c>
    </row>
    <row r="126" customFormat="false" ht="15" hidden="false" customHeight="false" outlineLevel="0" collapsed="false">
      <c r="A126" s="19" t="s">
        <v>197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customFormat="false" ht="15" hidden="false" customHeight="false" outlineLevel="0" collapsed="false">
      <c r="A127" s="18" t="n">
        <f aca="false">IF('Saída Estoque Fracionado'!A2="","",'Saída Estoque Fracionado'!A2)</f>
        <v>46210</v>
      </c>
      <c r="B127" s="20" t="str">
        <f aca="false">IF('Saída Estoque Fracionado'!A2="","","Saída Fracionado")</f>
        <v>Saída Fracionado</v>
      </c>
      <c r="C127" s="20" t="str">
        <f aca="false">IF('Saída Estoque Fracionado'!A2="","","Cozinha de Produção de Fracionados")</f>
        <v>Cozinha de Produção de Fracionados</v>
      </c>
      <c r="D127" s="20" t="str">
        <f aca="false">IF('Saída Estoque Fracionado'!A2="","",'Saída Estoque Fracionado'!F2)</f>
        <v>Sushi</v>
      </c>
      <c r="E127" s="20" t="str">
        <f aca="false">IF('Saída Estoque Fracionado'!A2="","",'Saída Estoque Fracionado'!C2)</f>
        <v>FR-001</v>
      </c>
      <c r="F127" s="20" t="str">
        <f aca="false">IF('Saída Estoque Fracionado'!A2="","",'Saída Estoque Fracionado'!D2)</f>
        <v>Salmão Fatiado para Sushi</v>
      </c>
      <c r="G127" s="16" t="n">
        <f aca="false">IF('Saída Estoque Fracionado'!A2="","",'Saída Estoque Fracionado'!G2)</f>
        <v>10</v>
      </c>
      <c r="H127" s="20" t="str">
        <f aca="false">IF('Saída Estoque Fracionado'!A2="","",'Saída Estoque Fracionado'!E2)</f>
        <v>KG</v>
      </c>
      <c r="I127" s="20" t="str">
        <f aca="false">IF('Saída Estoque Fracionado'!A2="","",'Saída Estoque Fracionado'!B2)</f>
        <v>SF-001</v>
      </c>
      <c r="J127" s="20" t="str">
        <f aca="false">IF('Saída Estoque Fracionado'!A2="","",'Saída Estoque Fracionado'!I2&amp;"")</f>
        <v>Igor Morgado</v>
      </c>
      <c r="K127" s="20" t="str">
        <f aca="false">IF('Saída Estoque Fracionado'!A2="","",'Saída Estoque Fracionado'!J2&amp;"")</f>
        <v/>
      </c>
    </row>
    <row r="128" customFormat="false" ht="15" hidden="false" customHeight="false" outlineLevel="0" collapsed="false">
      <c r="A128" s="18" t="n">
        <f aca="false">IF('Saída Estoque Fracionado'!A3="","",'Saída Estoque Fracionado'!A3)</f>
        <v>46210</v>
      </c>
      <c r="B128" s="20" t="str">
        <f aca="false">IF('Saída Estoque Fracionado'!A3="","","Saída Fracionado")</f>
        <v>Saída Fracionado</v>
      </c>
      <c r="C128" s="20" t="str">
        <f aca="false">IF('Saída Estoque Fracionado'!A3="","","Cozinha de Produção de Fracionados")</f>
        <v>Cozinha de Produção de Fracionados</v>
      </c>
      <c r="D128" s="20" t="str">
        <f aca="false">IF('Saída Estoque Fracionado'!A3="","",'Saída Estoque Fracionado'!F3)</f>
        <v>Sushi</v>
      </c>
      <c r="E128" s="20" t="str">
        <f aca="false">IF('Saída Estoque Fracionado'!A3="","",'Saída Estoque Fracionado'!C3)</f>
        <v>FR-002</v>
      </c>
      <c r="F128" s="20" t="str">
        <f aca="false">IF('Saída Estoque Fracionado'!A3="","",'Saída Estoque Fracionado'!D3)</f>
        <v>Arroz Temperado para Sushi</v>
      </c>
      <c r="G128" s="16" t="n">
        <f aca="false">IF('Saída Estoque Fracionado'!A3="","",'Saída Estoque Fracionado'!G3)</f>
        <v>12</v>
      </c>
      <c r="H128" s="20" t="str">
        <f aca="false">IF('Saída Estoque Fracionado'!A3="","",'Saída Estoque Fracionado'!E3)</f>
        <v>KG</v>
      </c>
      <c r="I128" s="20" t="str">
        <f aca="false">IF('Saída Estoque Fracionado'!A3="","",'Saída Estoque Fracionado'!B3)</f>
        <v>SF-002</v>
      </c>
      <c r="J128" s="20" t="str">
        <f aca="false">IF('Saída Estoque Fracionado'!A3="","",'Saída Estoque Fracionado'!I3&amp;"")</f>
        <v>Igor Morgado</v>
      </c>
      <c r="K128" s="20" t="str">
        <f aca="false">IF('Saída Estoque Fracionado'!A3="","",'Saída Estoque Fracionado'!J3&amp;"")</f>
        <v/>
      </c>
    </row>
    <row r="129" customFormat="false" ht="15" hidden="false" customHeight="false" outlineLevel="0" collapsed="false">
      <c r="A129" s="18" t="n">
        <f aca="false">IF('Saída Estoque Fracionado'!A4="","",'Saída Estoque Fracionado'!A4)</f>
        <v>46210</v>
      </c>
      <c r="B129" s="20" t="str">
        <f aca="false">IF('Saída Estoque Fracionado'!A4="","","Saída Fracionado")</f>
        <v>Saída Fracionado</v>
      </c>
      <c r="C129" s="20" t="str">
        <f aca="false">IF('Saída Estoque Fracionado'!A4="","","Cozinha de Produção de Fracionados")</f>
        <v>Cozinha de Produção de Fracionados</v>
      </c>
      <c r="D129" s="20" t="str">
        <f aca="false">IF('Saída Estoque Fracionado'!A4="","",'Saída Estoque Fracionado'!F4)</f>
        <v>Buffet Fran Casaria</v>
      </c>
      <c r="E129" s="20" t="str">
        <f aca="false">IF('Saída Estoque Fracionado'!A4="","",'Saída Estoque Fracionado'!C4)</f>
        <v>FR-003</v>
      </c>
      <c r="F129" s="20" t="str">
        <f aca="false">IF('Saída Estoque Fracionado'!A4="","",'Saída Estoque Fracionado'!D4)</f>
        <v>Alface Higienizada e Cortada</v>
      </c>
      <c r="G129" s="16" t="n">
        <f aca="false">IF('Saída Estoque Fracionado'!A4="","",'Saída Estoque Fracionado'!G4)</f>
        <v>5</v>
      </c>
      <c r="H129" s="20" t="str">
        <f aca="false">IF('Saída Estoque Fracionado'!A4="","",'Saída Estoque Fracionado'!E4)</f>
        <v>KG</v>
      </c>
      <c r="I129" s="20" t="str">
        <f aca="false">IF('Saída Estoque Fracionado'!A4="","",'Saída Estoque Fracionado'!B4)</f>
        <v>SF-003</v>
      </c>
      <c r="J129" s="20" t="str">
        <f aca="false">IF('Saída Estoque Fracionado'!A4="","",'Saída Estoque Fracionado'!I4&amp;"")</f>
        <v>Igor Morgado</v>
      </c>
      <c r="K129" s="20" t="str">
        <f aca="false">IF('Saída Estoque Fracionado'!A4="","",'Saída Estoque Fracionado'!J4&amp;"")</f>
        <v/>
      </c>
    </row>
    <row r="130" customFormat="false" ht="15" hidden="false" customHeight="false" outlineLevel="0" collapsed="false">
      <c r="A130" s="18" t="n">
        <f aca="false">IF('Saída Estoque Fracionado'!A5="","",'Saída Estoque Fracionado'!A5)</f>
        <v>46210</v>
      </c>
      <c r="B130" s="20" t="str">
        <f aca="false">IF('Saída Estoque Fracionado'!A5="","","Saída Fracionado")</f>
        <v>Saída Fracionado</v>
      </c>
      <c r="C130" s="20" t="str">
        <f aca="false">IF('Saída Estoque Fracionado'!A5="","","Cozinha de Produção de Fracionados")</f>
        <v>Cozinha de Produção de Fracionados</v>
      </c>
      <c r="D130" s="20" t="str">
        <f aca="false">IF('Saída Estoque Fracionado'!A5="","",'Saída Estoque Fracionado'!F5)</f>
        <v>Restaurante Arboreto</v>
      </c>
      <c r="E130" s="20" t="str">
        <f aca="false">IF('Saída Estoque Fracionado'!A5="","",'Saída Estoque Fracionado'!C5)</f>
        <v>FR-005</v>
      </c>
      <c r="F130" s="20" t="str">
        <f aca="false">IF('Saída Estoque Fracionado'!A5="","",'Saída Estoque Fracionado'!D5)</f>
        <v>Tomate Picado</v>
      </c>
      <c r="G130" s="16" t="n">
        <f aca="false">IF('Saída Estoque Fracionado'!A5="","",'Saída Estoque Fracionado'!G5)</f>
        <v>6</v>
      </c>
      <c r="H130" s="20" t="str">
        <f aca="false">IF('Saída Estoque Fracionado'!A5="","",'Saída Estoque Fracionado'!E5)</f>
        <v>KG</v>
      </c>
      <c r="I130" s="20" t="str">
        <f aca="false">IF('Saída Estoque Fracionado'!A5="","",'Saída Estoque Fracionado'!B5)</f>
        <v>SF-004</v>
      </c>
      <c r="J130" s="20" t="str">
        <f aca="false">IF('Saída Estoque Fracionado'!A5="","",'Saída Estoque Fracionado'!I5&amp;"")</f>
        <v>Igor Morgado</v>
      </c>
      <c r="K130" s="20" t="str">
        <f aca="false">IF('Saída Estoque Fracionado'!A5="","",'Saída Estoque Fracionado'!J5&amp;"")</f>
        <v/>
      </c>
    </row>
    <row r="131" customFormat="false" ht="15" hidden="false" customHeight="false" outlineLevel="0" collapsed="false">
      <c r="A131" s="18" t="str">
        <f aca="false">IF('Saída Estoque Fracionado'!A6="","",'Saída Estoque Fracionado'!A6)</f>
        <v/>
      </c>
      <c r="B131" s="20" t="str">
        <f aca="false">IF('Saída Estoque Fracionado'!A6="","","Saída Fracionado")</f>
        <v/>
      </c>
      <c r="C131" s="20" t="str">
        <f aca="false">IF('Saída Estoque Fracionado'!A6="","","Cozinha de Produção de Fracionados")</f>
        <v/>
      </c>
      <c r="D131" s="20" t="str">
        <f aca="false">IF('Saída Estoque Fracionado'!A6="","",'Saída Estoque Fracionado'!F6)</f>
        <v/>
      </c>
      <c r="E131" s="20" t="str">
        <f aca="false">IF('Saída Estoque Fracionado'!A6="","",'Saída Estoque Fracionado'!C6)</f>
        <v/>
      </c>
      <c r="F131" s="20" t="str">
        <f aca="false">IF('Saída Estoque Fracionado'!A6="","",'Saída Estoque Fracionado'!D6)</f>
        <v/>
      </c>
      <c r="G131" s="20" t="str">
        <f aca="false">IF('Saída Estoque Fracionado'!A6="","",'Saída Estoque Fracionado'!G6)</f>
        <v/>
      </c>
      <c r="H131" s="20" t="str">
        <f aca="false">IF('Saída Estoque Fracionado'!A6="","",'Saída Estoque Fracionado'!E6)</f>
        <v/>
      </c>
      <c r="I131" s="20" t="str">
        <f aca="false">IF('Saída Estoque Fracionado'!A6="","",'Saída Estoque Fracionado'!B6)</f>
        <v/>
      </c>
      <c r="J131" s="20" t="str">
        <f aca="false">IF('Saída Estoque Fracionado'!A6="","",'Saída Estoque Fracionado'!I6&amp;"")</f>
        <v/>
      </c>
      <c r="K131" s="20" t="str">
        <f aca="false">IF('Saída Estoque Fracionado'!A6="","",'Saída Estoque Fracionado'!J6&amp;"")</f>
        <v/>
      </c>
    </row>
    <row r="132" customFormat="false" ht="15" hidden="false" customHeight="false" outlineLevel="0" collapsed="false">
      <c r="A132" s="18" t="str">
        <f aca="false">IF('Saída Estoque Fracionado'!A7="","",'Saída Estoque Fracionado'!A7)</f>
        <v/>
      </c>
      <c r="B132" s="20" t="str">
        <f aca="false">IF('Saída Estoque Fracionado'!A7="","","Saída Fracionado")</f>
        <v/>
      </c>
      <c r="C132" s="20" t="str">
        <f aca="false">IF('Saída Estoque Fracionado'!A7="","","Cozinha de Produção de Fracionados")</f>
        <v/>
      </c>
      <c r="D132" s="20" t="str">
        <f aca="false">IF('Saída Estoque Fracionado'!A7="","",'Saída Estoque Fracionado'!F7)</f>
        <v/>
      </c>
      <c r="E132" s="20" t="str">
        <f aca="false">IF('Saída Estoque Fracionado'!A7="","",'Saída Estoque Fracionado'!C7)</f>
        <v/>
      </c>
      <c r="F132" s="20" t="str">
        <f aca="false">IF('Saída Estoque Fracionado'!A7="","",'Saída Estoque Fracionado'!D7)</f>
        <v/>
      </c>
      <c r="G132" s="20" t="str">
        <f aca="false">IF('Saída Estoque Fracionado'!A7="","",'Saída Estoque Fracionado'!G7)</f>
        <v/>
      </c>
      <c r="H132" s="20" t="str">
        <f aca="false">IF('Saída Estoque Fracionado'!A7="","",'Saída Estoque Fracionado'!E7)</f>
        <v/>
      </c>
      <c r="I132" s="20" t="str">
        <f aca="false">IF('Saída Estoque Fracionado'!A7="","",'Saída Estoque Fracionado'!B7)</f>
        <v/>
      </c>
      <c r="J132" s="20" t="str">
        <f aca="false">IF('Saída Estoque Fracionado'!A7="","",'Saída Estoque Fracionado'!I7&amp;"")</f>
        <v/>
      </c>
      <c r="K132" s="20" t="str">
        <f aca="false">IF('Saída Estoque Fracionado'!A7="","",'Saída Estoque Fracionado'!J7&amp;"")</f>
        <v/>
      </c>
    </row>
    <row r="133" customFormat="false" ht="15" hidden="false" customHeight="false" outlineLevel="0" collapsed="false">
      <c r="A133" s="18" t="str">
        <f aca="false">IF('Saída Estoque Fracionado'!A8="","",'Saída Estoque Fracionado'!A8)</f>
        <v/>
      </c>
      <c r="B133" s="20" t="str">
        <f aca="false">IF('Saída Estoque Fracionado'!A8="","","Saída Fracionado")</f>
        <v/>
      </c>
      <c r="C133" s="20" t="str">
        <f aca="false">IF('Saída Estoque Fracionado'!A8="","","Cozinha de Produção de Fracionados")</f>
        <v/>
      </c>
      <c r="D133" s="20" t="str">
        <f aca="false">IF('Saída Estoque Fracionado'!A8="","",'Saída Estoque Fracionado'!F8)</f>
        <v/>
      </c>
      <c r="E133" s="20" t="str">
        <f aca="false">IF('Saída Estoque Fracionado'!A8="","",'Saída Estoque Fracionado'!C8)</f>
        <v/>
      </c>
      <c r="F133" s="20" t="str">
        <f aca="false">IF('Saída Estoque Fracionado'!A8="","",'Saída Estoque Fracionado'!D8)</f>
        <v/>
      </c>
      <c r="G133" s="20" t="str">
        <f aca="false">IF('Saída Estoque Fracionado'!A8="","",'Saída Estoque Fracionado'!G8)</f>
        <v/>
      </c>
      <c r="H133" s="20" t="str">
        <f aca="false">IF('Saída Estoque Fracionado'!A8="","",'Saída Estoque Fracionado'!E8)</f>
        <v/>
      </c>
      <c r="I133" s="20" t="str">
        <f aca="false">IF('Saída Estoque Fracionado'!A8="","",'Saída Estoque Fracionado'!B8)</f>
        <v/>
      </c>
      <c r="J133" s="20" t="str">
        <f aca="false">IF('Saída Estoque Fracionado'!A8="","",'Saída Estoque Fracionado'!I8&amp;"")</f>
        <v/>
      </c>
      <c r="K133" s="20" t="str">
        <f aca="false">IF('Saída Estoque Fracionado'!A8="","",'Saída Estoque Fracionado'!J8&amp;"")</f>
        <v/>
      </c>
    </row>
    <row r="134" customFormat="false" ht="15" hidden="false" customHeight="false" outlineLevel="0" collapsed="false">
      <c r="A134" s="18" t="str">
        <f aca="false">IF('Saída Estoque Fracionado'!A9="","",'Saída Estoque Fracionado'!A9)</f>
        <v/>
      </c>
      <c r="B134" s="20" t="str">
        <f aca="false">IF('Saída Estoque Fracionado'!A9="","","Saída Fracionado")</f>
        <v/>
      </c>
      <c r="C134" s="20" t="str">
        <f aca="false">IF('Saída Estoque Fracionado'!A9="","","Cozinha de Produção de Fracionados")</f>
        <v/>
      </c>
      <c r="D134" s="20" t="str">
        <f aca="false">IF('Saída Estoque Fracionado'!A9="","",'Saída Estoque Fracionado'!F9)</f>
        <v/>
      </c>
      <c r="E134" s="20" t="str">
        <f aca="false">IF('Saída Estoque Fracionado'!A9="","",'Saída Estoque Fracionado'!C9)</f>
        <v/>
      </c>
      <c r="F134" s="20" t="str">
        <f aca="false">IF('Saída Estoque Fracionado'!A9="","",'Saída Estoque Fracionado'!D9)</f>
        <v/>
      </c>
      <c r="G134" s="20" t="str">
        <f aca="false">IF('Saída Estoque Fracionado'!A9="","",'Saída Estoque Fracionado'!G9)</f>
        <v/>
      </c>
      <c r="H134" s="20" t="str">
        <f aca="false">IF('Saída Estoque Fracionado'!A9="","",'Saída Estoque Fracionado'!E9)</f>
        <v/>
      </c>
      <c r="I134" s="20" t="str">
        <f aca="false">IF('Saída Estoque Fracionado'!A9="","",'Saída Estoque Fracionado'!B9)</f>
        <v/>
      </c>
      <c r="J134" s="20" t="str">
        <f aca="false">IF('Saída Estoque Fracionado'!A9="","",'Saída Estoque Fracionado'!I9&amp;"")</f>
        <v/>
      </c>
      <c r="K134" s="20" t="str">
        <f aca="false">IF('Saída Estoque Fracionado'!A9="","",'Saída Estoque Fracionado'!J9&amp;"")</f>
        <v/>
      </c>
    </row>
    <row r="135" customFormat="false" ht="15" hidden="false" customHeight="false" outlineLevel="0" collapsed="false">
      <c r="A135" s="18" t="str">
        <f aca="false">IF('Saída Estoque Fracionado'!A10="","",'Saída Estoque Fracionado'!A10)</f>
        <v/>
      </c>
      <c r="B135" s="20" t="str">
        <f aca="false">IF('Saída Estoque Fracionado'!A10="","","Saída Fracionado")</f>
        <v/>
      </c>
      <c r="C135" s="20" t="str">
        <f aca="false">IF('Saída Estoque Fracionado'!A10="","","Cozinha de Produção de Fracionados")</f>
        <v/>
      </c>
      <c r="D135" s="20" t="str">
        <f aca="false">IF('Saída Estoque Fracionado'!A10="","",'Saída Estoque Fracionado'!F10)</f>
        <v/>
      </c>
      <c r="E135" s="20" t="str">
        <f aca="false">IF('Saída Estoque Fracionado'!A10="","",'Saída Estoque Fracionado'!C10)</f>
        <v/>
      </c>
      <c r="F135" s="20" t="str">
        <f aca="false">IF('Saída Estoque Fracionado'!A10="","",'Saída Estoque Fracionado'!D10)</f>
        <v/>
      </c>
      <c r="G135" s="20" t="str">
        <f aca="false">IF('Saída Estoque Fracionado'!A10="","",'Saída Estoque Fracionado'!G10)</f>
        <v/>
      </c>
      <c r="H135" s="20" t="str">
        <f aca="false">IF('Saída Estoque Fracionado'!A10="","",'Saída Estoque Fracionado'!E10)</f>
        <v/>
      </c>
      <c r="I135" s="20" t="str">
        <f aca="false">IF('Saída Estoque Fracionado'!A10="","",'Saída Estoque Fracionado'!B10)</f>
        <v/>
      </c>
      <c r="J135" s="20" t="str">
        <f aca="false">IF('Saída Estoque Fracionado'!A10="","",'Saída Estoque Fracionado'!I10&amp;"")</f>
        <v/>
      </c>
      <c r="K135" s="20" t="str">
        <f aca="false">IF('Saída Estoque Fracionado'!A10="","",'Saída Estoque Fracionado'!J10&amp;"")</f>
        <v/>
      </c>
    </row>
    <row r="136" customFormat="false" ht="15" hidden="false" customHeight="false" outlineLevel="0" collapsed="false">
      <c r="A136" s="18" t="str">
        <f aca="false">IF('Saída Estoque Fracionado'!A11="","",'Saída Estoque Fracionado'!A11)</f>
        <v/>
      </c>
      <c r="B136" s="20" t="str">
        <f aca="false">IF('Saída Estoque Fracionado'!A11="","","Saída Fracionado")</f>
        <v/>
      </c>
      <c r="C136" s="20" t="str">
        <f aca="false">IF('Saída Estoque Fracionado'!A11="","","Cozinha de Produção de Fracionados")</f>
        <v/>
      </c>
      <c r="D136" s="20" t="str">
        <f aca="false">IF('Saída Estoque Fracionado'!A11="","",'Saída Estoque Fracionado'!F11)</f>
        <v/>
      </c>
      <c r="E136" s="20" t="str">
        <f aca="false">IF('Saída Estoque Fracionado'!A11="","",'Saída Estoque Fracionado'!C11)</f>
        <v/>
      </c>
      <c r="F136" s="20" t="str">
        <f aca="false">IF('Saída Estoque Fracionado'!A11="","",'Saída Estoque Fracionado'!D11)</f>
        <v/>
      </c>
      <c r="G136" s="20" t="str">
        <f aca="false">IF('Saída Estoque Fracionado'!A11="","",'Saída Estoque Fracionado'!G11)</f>
        <v/>
      </c>
      <c r="H136" s="20" t="str">
        <f aca="false">IF('Saída Estoque Fracionado'!A11="","",'Saída Estoque Fracionado'!E11)</f>
        <v/>
      </c>
      <c r="I136" s="20" t="str">
        <f aca="false">IF('Saída Estoque Fracionado'!A11="","",'Saída Estoque Fracionado'!B11)</f>
        <v/>
      </c>
      <c r="J136" s="20" t="str">
        <f aca="false">IF('Saída Estoque Fracionado'!A11="","",'Saída Estoque Fracionado'!I11&amp;"")</f>
        <v/>
      </c>
      <c r="K136" s="20" t="str">
        <f aca="false">IF('Saída Estoque Fracionado'!A11="","",'Saída Estoque Fracionado'!J11&amp;"")</f>
        <v/>
      </c>
    </row>
    <row r="137" customFormat="false" ht="15" hidden="false" customHeight="false" outlineLevel="0" collapsed="false">
      <c r="A137" s="18" t="str">
        <f aca="false">IF('Saída Estoque Fracionado'!A12="","",'Saída Estoque Fracionado'!A12)</f>
        <v/>
      </c>
      <c r="B137" s="20" t="str">
        <f aca="false">IF('Saída Estoque Fracionado'!A12="","","Saída Fracionado")</f>
        <v/>
      </c>
      <c r="C137" s="20" t="str">
        <f aca="false">IF('Saída Estoque Fracionado'!A12="","","Cozinha de Produção de Fracionados")</f>
        <v/>
      </c>
      <c r="D137" s="20" t="str">
        <f aca="false">IF('Saída Estoque Fracionado'!A12="","",'Saída Estoque Fracionado'!F12)</f>
        <v/>
      </c>
      <c r="E137" s="20" t="str">
        <f aca="false">IF('Saída Estoque Fracionado'!A12="","",'Saída Estoque Fracionado'!C12)</f>
        <v/>
      </c>
      <c r="F137" s="20" t="str">
        <f aca="false">IF('Saída Estoque Fracionado'!A12="","",'Saída Estoque Fracionado'!D12)</f>
        <v/>
      </c>
      <c r="G137" s="20" t="str">
        <f aca="false">IF('Saída Estoque Fracionado'!A12="","",'Saída Estoque Fracionado'!G12)</f>
        <v/>
      </c>
      <c r="H137" s="20" t="str">
        <f aca="false">IF('Saída Estoque Fracionado'!A12="","",'Saída Estoque Fracionado'!E12)</f>
        <v/>
      </c>
      <c r="I137" s="20" t="str">
        <f aca="false">IF('Saída Estoque Fracionado'!A12="","",'Saída Estoque Fracionado'!B12)</f>
        <v/>
      </c>
      <c r="J137" s="20" t="str">
        <f aca="false">IF('Saída Estoque Fracionado'!A12="","",'Saída Estoque Fracionado'!I12&amp;"")</f>
        <v/>
      </c>
      <c r="K137" s="20" t="str">
        <f aca="false">IF('Saída Estoque Fracionado'!A12="","",'Saída Estoque Fracionado'!J12&amp;"")</f>
        <v/>
      </c>
    </row>
    <row r="138" customFormat="false" ht="15" hidden="false" customHeight="false" outlineLevel="0" collapsed="false">
      <c r="A138" s="18" t="str">
        <f aca="false">IF('Saída Estoque Fracionado'!A13="","",'Saída Estoque Fracionado'!A13)</f>
        <v/>
      </c>
      <c r="B138" s="20" t="str">
        <f aca="false">IF('Saída Estoque Fracionado'!A13="","","Saída Fracionado")</f>
        <v/>
      </c>
      <c r="C138" s="20" t="str">
        <f aca="false">IF('Saída Estoque Fracionado'!A13="","","Cozinha de Produção de Fracionados")</f>
        <v/>
      </c>
      <c r="D138" s="20" t="str">
        <f aca="false">IF('Saída Estoque Fracionado'!A13="","",'Saída Estoque Fracionado'!F13)</f>
        <v/>
      </c>
      <c r="E138" s="20" t="str">
        <f aca="false">IF('Saída Estoque Fracionado'!A13="","",'Saída Estoque Fracionado'!C13)</f>
        <v/>
      </c>
      <c r="F138" s="20" t="str">
        <f aca="false">IF('Saída Estoque Fracionado'!A13="","",'Saída Estoque Fracionado'!D13)</f>
        <v/>
      </c>
      <c r="G138" s="20" t="str">
        <f aca="false">IF('Saída Estoque Fracionado'!A13="","",'Saída Estoque Fracionado'!G13)</f>
        <v/>
      </c>
      <c r="H138" s="20" t="str">
        <f aca="false">IF('Saída Estoque Fracionado'!A13="","",'Saída Estoque Fracionado'!E13)</f>
        <v/>
      </c>
      <c r="I138" s="20" t="str">
        <f aca="false">IF('Saída Estoque Fracionado'!A13="","",'Saída Estoque Fracionado'!B13)</f>
        <v/>
      </c>
      <c r="J138" s="20" t="str">
        <f aca="false">IF('Saída Estoque Fracionado'!A13="","",'Saída Estoque Fracionado'!I13&amp;"")</f>
        <v/>
      </c>
      <c r="K138" s="20" t="str">
        <f aca="false">IF('Saída Estoque Fracionado'!A13="","",'Saída Estoque Fracionado'!J13&amp;"")</f>
        <v/>
      </c>
    </row>
    <row r="139" customFormat="false" ht="15" hidden="false" customHeight="false" outlineLevel="0" collapsed="false">
      <c r="A139" s="18" t="str">
        <f aca="false">IF('Saída Estoque Fracionado'!A14="","",'Saída Estoque Fracionado'!A14)</f>
        <v/>
      </c>
      <c r="B139" s="20" t="str">
        <f aca="false">IF('Saída Estoque Fracionado'!A14="","","Saída Fracionado")</f>
        <v/>
      </c>
      <c r="C139" s="20" t="str">
        <f aca="false">IF('Saída Estoque Fracionado'!A14="","","Cozinha de Produção de Fracionados")</f>
        <v/>
      </c>
      <c r="D139" s="20" t="str">
        <f aca="false">IF('Saída Estoque Fracionado'!A14="","",'Saída Estoque Fracionado'!F14)</f>
        <v/>
      </c>
      <c r="E139" s="20" t="str">
        <f aca="false">IF('Saída Estoque Fracionado'!A14="","",'Saída Estoque Fracionado'!C14)</f>
        <v/>
      </c>
      <c r="F139" s="20" t="str">
        <f aca="false">IF('Saída Estoque Fracionado'!A14="","",'Saída Estoque Fracionado'!D14)</f>
        <v/>
      </c>
      <c r="G139" s="20" t="str">
        <f aca="false">IF('Saída Estoque Fracionado'!A14="","",'Saída Estoque Fracionado'!G14)</f>
        <v/>
      </c>
      <c r="H139" s="20" t="str">
        <f aca="false">IF('Saída Estoque Fracionado'!A14="","",'Saída Estoque Fracionado'!E14)</f>
        <v/>
      </c>
      <c r="I139" s="20" t="str">
        <f aca="false">IF('Saída Estoque Fracionado'!A14="","",'Saída Estoque Fracionado'!B14)</f>
        <v/>
      </c>
      <c r="J139" s="20" t="str">
        <f aca="false">IF('Saída Estoque Fracionado'!A14="","",'Saída Estoque Fracionado'!I14&amp;"")</f>
        <v/>
      </c>
      <c r="K139" s="20" t="str">
        <f aca="false">IF('Saída Estoque Fracionado'!A14="","",'Saída Estoque Fracionado'!J14&amp;"")</f>
        <v/>
      </c>
    </row>
    <row r="140" customFormat="false" ht="15" hidden="false" customHeight="false" outlineLevel="0" collapsed="false">
      <c r="A140" s="18" t="str">
        <f aca="false">IF('Saída Estoque Fracionado'!A15="","",'Saída Estoque Fracionado'!A15)</f>
        <v/>
      </c>
      <c r="B140" s="20" t="str">
        <f aca="false">IF('Saída Estoque Fracionado'!A15="","","Saída Fracionado")</f>
        <v/>
      </c>
      <c r="C140" s="20" t="str">
        <f aca="false">IF('Saída Estoque Fracionado'!A15="","","Cozinha de Produção de Fracionados")</f>
        <v/>
      </c>
      <c r="D140" s="20" t="str">
        <f aca="false">IF('Saída Estoque Fracionado'!A15="","",'Saída Estoque Fracionado'!F15)</f>
        <v/>
      </c>
      <c r="E140" s="20" t="str">
        <f aca="false">IF('Saída Estoque Fracionado'!A15="","",'Saída Estoque Fracionado'!C15)</f>
        <v/>
      </c>
      <c r="F140" s="20" t="str">
        <f aca="false">IF('Saída Estoque Fracionado'!A15="","",'Saída Estoque Fracionado'!D15)</f>
        <v/>
      </c>
      <c r="G140" s="20" t="str">
        <f aca="false">IF('Saída Estoque Fracionado'!A15="","",'Saída Estoque Fracionado'!G15)</f>
        <v/>
      </c>
      <c r="H140" s="20" t="str">
        <f aca="false">IF('Saída Estoque Fracionado'!A15="","",'Saída Estoque Fracionado'!E15)</f>
        <v/>
      </c>
      <c r="I140" s="20" t="str">
        <f aca="false">IF('Saída Estoque Fracionado'!A15="","",'Saída Estoque Fracionado'!B15)</f>
        <v/>
      </c>
      <c r="J140" s="20" t="str">
        <f aca="false">IF('Saída Estoque Fracionado'!A15="","",'Saída Estoque Fracionado'!I15&amp;"")</f>
        <v/>
      </c>
      <c r="K140" s="20" t="str">
        <f aca="false">IF('Saída Estoque Fracionado'!A15="","",'Saída Estoque Fracionado'!J15&amp;"")</f>
        <v/>
      </c>
    </row>
    <row r="141" customFormat="false" ht="15" hidden="false" customHeight="false" outlineLevel="0" collapsed="false">
      <c r="A141" s="18" t="str">
        <f aca="false">IF('Saída Estoque Fracionado'!A16="","",'Saída Estoque Fracionado'!A16)</f>
        <v/>
      </c>
      <c r="B141" s="20" t="str">
        <f aca="false">IF('Saída Estoque Fracionado'!A16="","","Saída Fracionado")</f>
        <v/>
      </c>
      <c r="C141" s="20" t="str">
        <f aca="false">IF('Saída Estoque Fracionado'!A16="","","Cozinha de Produção de Fracionados")</f>
        <v/>
      </c>
      <c r="D141" s="20" t="str">
        <f aca="false">IF('Saída Estoque Fracionado'!A16="","",'Saída Estoque Fracionado'!F16)</f>
        <v/>
      </c>
      <c r="E141" s="20" t="str">
        <f aca="false">IF('Saída Estoque Fracionado'!A16="","",'Saída Estoque Fracionado'!C16)</f>
        <v/>
      </c>
      <c r="F141" s="20" t="str">
        <f aca="false">IF('Saída Estoque Fracionado'!A16="","",'Saída Estoque Fracionado'!D16)</f>
        <v/>
      </c>
      <c r="G141" s="20" t="str">
        <f aca="false">IF('Saída Estoque Fracionado'!A16="","",'Saída Estoque Fracionado'!G16)</f>
        <v/>
      </c>
      <c r="H141" s="20" t="str">
        <f aca="false">IF('Saída Estoque Fracionado'!A16="","",'Saída Estoque Fracionado'!E16)</f>
        <v/>
      </c>
      <c r="I141" s="20" t="str">
        <f aca="false">IF('Saída Estoque Fracionado'!A16="","",'Saída Estoque Fracionado'!B16)</f>
        <v/>
      </c>
      <c r="J141" s="20" t="str">
        <f aca="false">IF('Saída Estoque Fracionado'!A16="","",'Saída Estoque Fracionado'!I16&amp;"")</f>
        <v/>
      </c>
      <c r="K141" s="20" t="str">
        <f aca="false">IF('Saída Estoque Fracionado'!A16="","",'Saída Estoque Fracionado'!J16&amp;"")</f>
        <v/>
      </c>
    </row>
    <row r="142" customFormat="false" ht="15" hidden="false" customHeight="false" outlineLevel="0" collapsed="false">
      <c r="A142" s="18" t="str">
        <f aca="false">IF('Saída Estoque Fracionado'!A17="","",'Saída Estoque Fracionado'!A17)</f>
        <v/>
      </c>
      <c r="B142" s="20" t="str">
        <f aca="false">IF('Saída Estoque Fracionado'!A17="","","Saída Fracionado")</f>
        <v/>
      </c>
      <c r="C142" s="20" t="str">
        <f aca="false">IF('Saída Estoque Fracionado'!A17="","","Cozinha de Produção de Fracionados")</f>
        <v/>
      </c>
      <c r="D142" s="20" t="str">
        <f aca="false">IF('Saída Estoque Fracionado'!A17="","",'Saída Estoque Fracionado'!F17)</f>
        <v/>
      </c>
      <c r="E142" s="20" t="str">
        <f aca="false">IF('Saída Estoque Fracionado'!A17="","",'Saída Estoque Fracionado'!C17)</f>
        <v/>
      </c>
      <c r="F142" s="20" t="str">
        <f aca="false">IF('Saída Estoque Fracionado'!A17="","",'Saída Estoque Fracionado'!D17)</f>
        <v/>
      </c>
      <c r="G142" s="20" t="str">
        <f aca="false">IF('Saída Estoque Fracionado'!A17="","",'Saída Estoque Fracionado'!G17)</f>
        <v/>
      </c>
      <c r="H142" s="20" t="str">
        <f aca="false">IF('Saída Estoque Fracionado'!A17="","",'Saída Estoque Fracionado'!E17)</f>
        <v/>
      </c>
      <c r="I142" s="20" t="str">
        <f aca="false">IF('Saída Estoque Fracionado'!A17="","",'Saída Estoque Fracionado'!B17)</f>
        <v/>
      </c>
      <c r="J142" s="20" t="str">
        <f aca="false">IF('Saída Estoque Fracionado'!A17="","",'Saída Estoque Fracionado'!I17&amp;"")</f>
        <v/>
      </c>
      <c r="K142" s="20" t="str">
        <f aca="false">IF('Saída Estoque Fracionado'!A17="","",'Saída Estoque Fracionado'!J17&amp;"")</f>
        <v/>
      </c>
    </row>
    <row r="143" customFormat="false" ht="15" hidden="false" customHeight="false" outlineLevel="0" collapsed="false">
      <c r="A143" s="18" t="str">
        <f aca="false">IF('Saída Estoque Fracionado'!A18="","",'Saída Estoque Fracionado'!A18)</f>
        <v/>
      </c>
      <c r="B143" s="20" t="str">
        <f aca="false">IF('Saída Estoque Fracionado'!A18="","","Saída Fracionado")</f>
        <v/>
      </c>
      <c r="C143" s="20" t="str">
        <f aca="false">IF('Saída Estoque Fracionado'!A18="","","Cozinha de Produção de Fracionados")</f>
        <v/>
      </c>
      <c r="D143" s="20" t="str">
        <f aca="false">IF('Saída Estoque Fracionado'!A18="","",'Saída Estoque Fracionado'!F18)</f>
        <v/>
      </c>
      <c r="E143" s="20" t="str">
        <f aca="false">IF('Saída Estoque Fracionado'!A18="","",'Saída Estoque Fracionado'!C18)</f>
        <v/>
      </c>
      <c r="F143" s="20" t="str">
        <f aca="false">IF('Saída Estoque Fracionado'!A18="","",'Saída Estoque Fracionado'!D18)</f>
        <v/>
      </c>
      <c r="G143" s="20" t="str">
        <f aca="false">IF('Saída Estoque Fracionado'!A18="","",'Saída Estoque Fracionado'!G18)</f>
        <v/>
      </c>
      <c r="H143" s="20" t="str">
        <f aca="false">IF('Saída Estoque Fracionado'!A18="","",'Saída Estoque Fracionado'!E18)</f>
        <v/>
      </c>
      <c r="I143" s="20" t="str">
        <f aca="false">IF('Saída Estoque Fracionado'!A18="","",'Saída Estoque Fracionado'!B18)</f>
        <v/>
      </c>
      <c r="J143" s="20" t="str">
        <f aca="false">IF('Saída Estoque Fracionado'!A18="","",'Saída Estoque Fracionado'!I18&amp;"")</f>
        <v/>
      </c>
      <c r="K143" s="20" t="str">
        <f aca="false">IF('Saída Estoque Fracionado'!A18="","",'Saída Estoque Fracionado'!J18&amp;"")</f>
        <v/>
      </c>
    </row>
    <row r="144" customFormat="false" ht="15" hidden="false" customHeight="false" outlineLevel="0" collapsed="false">
      <c r="A144" s="18" t="str">
        <f aca="false">IF('Saída Estoque Fracionado'!A19="","",'Saída Estoque Fracionado'!A19)</f>
        <v/>
      </c>
      <c r="B144" s="20" t="str">
        <f aca="false">IF('Saída Estoque Fracionado'!A19="","","Saída Fracionado")</f>
        <v/>
      </c>
      <c r="C144" s="20" t="str">
        <f aca="false">IF('Saída Estoque Fracionado'!A19="","","Cozinha de Produção de Fracionados")</f>
        <v/>
      </c>
      <c r="D144" s="20" t="str">
        <f aca="false">IF('Saída Estoque Fracionado'!A19="","",'Saída Estoque Fracionado'!F19)</f>
        <v/>
      </c>
      <c r="E144" s="20" t="str">
        <f aca="false">IF('Saída Estoque Fracionado'!A19="","",'Saída Estoque Fracionado'!C19)</f>
        <v/>
      </c>
      <c r="F144" s="20" t="str">
        <f aca="false">IF('Saída Estoque Fracionado'!A19="","",'Saída Estoque Fracionado'!D19)</f>
        <v/>
      </c>
      <c r="G144" s="20" t="str">
        <f aca="false">IF('Saída Estoque Fracionado'!A19="","",'Saída Estoque Fracionado'!G19)</f>
        <v/>
      </c>
      <c r="H144" s="20" t="str">
        <f aca="false">IF('Saída Estoque Fracionado'!A19="","",'Saída Estoque Fracionado'!E19)</f>
        <v/>
      </c>
      <c r="I144" s="20" t="str">
        <f aca="false">IF('Saída Estoque Fracionado'!A19="","",'Saída Estoque Fracionado'!B19)</f>
        <v/>
      </c>
      <c r="J144" s="20" t="str">
        <f aca="false">IF('Saída Estoque Fracionado'!A19="","",'Saída Estoque Fracionado'!I19&amp;"")</f>
        <v/>
      </c>
      <c r="K144" s="20" t="str">
        <f aca="false">IF('Saída Estoque Fracionado'!A19="","",'Saída Estoque Fracionado'!J19&amp;"")</f>
        <v/>
      </c>
    </row>
    <row r="145" customFormat="false" ht="15" hidden="false" customHeight="false" outlineLevel="0" collapsed="false">
      <c r="A145" s="18" t="str">
        <f aca="false">IF('Saída Estoque Fracionado'!A20="","",'Saída Estoque Fracionado'!A20)</f>
        <v/>
      </c>
      <c r="B145" s="20" t="str">
        <f aca="false">IF('Saída Estoque Fracionado'!A20="","","Saída Fracionado")</f>
        <v/>
      </c>
      <c r="C145" s="20" t="str">
        <f aca="false">IF('Saída Estoque Fracionado'!A20="","","Cozinha de Produção de Fracionados")</f>
        <v/>
      </c>
      <c r="D145" s="20" t="str">
        <f aca="false">IF('Saída Estoque Fracionado'!A20="","",'Saída Estoque Fracionado'!F20)</f>
        <v/>
      </c>
      <c r="E145" s="20" t="str">
        <f aca="false">IF('Saída Estoque Fracionado'!A20="","",'Saída Estoque Fracionado'!C20)</f>
        <v/>
      </c>
      <c r="F145" s="20" t="str">
        <f aca="false">IF('Saída Estoque Fracionado'!A20="","",'Saída Estoque Fracionado'!D20)</f>
        <v/>
      </c>
      <c r="G145" s="20" t="str">
        <f aca="false">IF('Saída Estoque Fracionado'!A20="","",'Saída Estoque Fracionado'!G20)</f>
        <v/>
      </c>
      <c r="H145" s="20" t="str">
        <f aca="false">IF('Saída Estoque Fracionado'!A20="","",'Saída Estoque Fracionado'!E20)</f>
        <v/>
      </c>
      <c r="I145" s="20" t="str">
        <f aca="false">IF('Saída Estoque Fracionado'!A20="","",'Saída Estoque Fracionado'!B20)</f>
        <v/>
      </c>
      <c r="J145" s="20" t="str">
        <f aca="false">IF('Saída Estoque Fracionado'!A20="","",'Saída Estoque Fracionado'!I20&amp;"")</f>
        <v/>
      </c>
      <c r="K145" s="20" t="str">
        <f aca="false">IF('Saída Estoque Fracionado'!A20="","",'Saída Estoque Fracionado'!J20&amp;"")</f>
        <v/>
      </c>
    </row>
    <row r="146" customFormat="false" ht="15" hidden="false" customHeight="false" outlineLevel="0" collapsed="false">
      <c r="A146" s="18" t="str">
        <f aca="false">IF('Saída Estoque Fracionado'!A21="","",'Saída Estoque Fracionado'!A21)</f>
        <v/>
      </c>
      <c r="B146" s="20" t="str">
        <f aca="false">IF('Saída Estoque Fracionado'!A21="","","Saída Fracionado")</f>
        <v/>
      </c>
      <c r="C146" s="20" t="str">
        <f aca="false">IF('Saída Estoque Fracionado'!A21="","","Cozinha de Produção de Fracionados")</f>
        <v/>
      </c>
      <c r="D146" s="20" t="str">
        <f aca="false">IF('Saída Estoque Fracionado'!A21="","",'Saída Estoque Fracionado'!F21)</f>
        <v/>
      </c>
      <c r="E146" s="20" t="str">
        <f aca="false">IF('Saída Estoque Fracionado'!A21="","",'Saída Estoque Fracionado'!C21)</f>
        <v/>
      </c>
      <c r="F146" s="20" t="str">
        <f aca="false">IF('Saída Estoque Fracionado'!A21="","",'Saída Estoque Fracionado'!D21)</f>
        <v/>
      </c>
      <c r="G146" s="20" t="str">
        <f aca="false">IF('Saída Estoque Fracionado'!A21="","",'Saída Estoque Fracionado'!G21)</f>
        <v/>
      </c>
      <c r="H146" s="20" t="str">
        <f aca="false">IF('Saída Estoque Fracionado'!A21="","",'Saída Estoque Fracionado'!E21)</f>
        <v/>
      </c>
      <c r="I146" s="20" t="str">
        <f aca="false">IF('Saída Estoque Fracionado'!A21="","",'Saída Estoque Fracionado'!B21)</f>
        <v/>
      </c>
      <c r="J146" s="20" t="str">
        <f aca="false">IF('Saída Estoque Fracionado'!A21="","",'Saída Estoque Fracionado'!I21&amp;"")</f>
        <v/>
      </c>
      <c r="K146" s="20" t="str">
        <f aca="false">IF('Saída Estoque Fracionado'!A21="","",'Saída Estoque Fracionado'!J21&amp;"")</f>
        <v/>
      </c>
    </row>
    <row r="147" customFormat="false" ht="15" hidden="false" customHeight="false" outlineLevel="0" collapsed="false">
      <c r="A147" s="18" t="str">
        <f aca="false">IF('Saída Estoque Fracionado'!A22="","",'Saída Estoque Fracionado'!A22)</f>
        <v/>
      </c>
      <c r="B147" s="20" t="str">
        <f aca="false">IF('Saída Estoque Fracionado'!A22="","","Saída Fracionado")</f>
        <v/>
      </c>
      <c r="C147" s="20" t="str">
        <f aca="false">IF('Saída Estoque Fracionado'!A22="","","Cozinha de Produção de Fracionados")</f>
        <v/>
      </c>
      <c r="D147" s="20" t="str">
        <f aca="false">IF('Saída Estoque Fracionado'!A22="","",'Saída Estoque Fracionado'!F22)</f>
        <v/>
      </c>
      <c r="E147" s="20" t="str">
        <f aca="false">IF('Saída Estoque Fracionado'!A22="","",'Saída Estoque Fracionado'!C22)</f>
        <v/>
      </c>
      <c r="F147" s="20" t="str">
        <f aca="false">IF('Saída Estoque Fracionado'!A22="","",'Saída Estoque Fracionado'!D22)</f>
        <v/>
      </c>
      <c r="G147" s="20" t="str">
        <f aca="false">IF('Saída Estoque Fracionado'!A22="","",'Saída Estoque Fracionado'!G22)</f>
        <v/>
      </c>
      <c r="H147" s="20" t="str">
        <f aca="false">IF('Saída Estoque Fracionado'!A22="","",'Saída Estoque Fracionado'!E22)</f>
        <v/>
      </c>
      <c r="I147" s="20" t="str">
        <f aca="false">IF('Saída Estoque Fracionado'!A22="","",'Saída Estoque Fracionado'!B22)</f>
        <v/>
      </c>
      <c r="J147" s="20" t="str">
        <f aca="false">IF('Saída Estoque Fracionado'!A22="","",'Saída Estoque Fracionado'!I22&amp;"")</f>
        <v/>
      </c>
      <c r="K147" s="20" t="str">
        <f aca="false">IF('Saída Estoque Fracionado'!A22="","",'Saída Estoque Fracionado'!J22&amp;"")</f>
        <v/>
      </c>
    </row>
    <row r="148" customFormat="false" ht="15" hidden="false" customHeight="false" outlineLevel="0" collapsed="false">
      <c r="A148" s="18" t="str">
        <f aca="false">IF('Saída Estoque Fracionado'!A23="","",'Saída Estoque Fracionado'!A23)</f>
        <v/>
      </c>
      <c r="B148" s="20" t="str">
        <f aca="false">IF('Saída Estoque Fracionado'!A23="","","Saída Fracionado")</f>
        <v/>
      </c>
      <c r="C148" s="20" t="str">
        <f aca="false">IF('Saída Estoque Fracionado'!A23="","","Cozinha de Produção de Fracionados")</f>
        <v/>
      </c>
      <c r="D148" s="20" t="str">
        <f aca="false">IF('Saída Estoque Fracionado'!A23="","",'Saída Estoque Fracionado'!F23)</f>
        <v/>
      </c>
      <c r="E148" s="20" t="str">
        <f aca="false">IF('Saída Estoque Fracionado'!A23="","",'Saída Estoque Fracionado'!C23)</f>
        <v/>
      </c>
      <c r="F148" s="20" t="str">
        <f aca="false">IF('Saída Estoque Fracionado'!A23="","",'Saída Estoque Fracionado'!D23)</f>
        <v/>
      </c>
      <c r="G148" s="20" t="str">
        <f aca="false">IF('Saída Estoque Fracionado'!A23="","",'Saída Estoque Fracionado'!G23)</f>
        <v/>
      </c>
      <c r="H148" s="20" t="str">
        <f aca="false">IF('Saída Estoque Fracionado'!A23="","",'Saída Estoque Fracionado'!E23)</f>
        <v/>
      </c>
      <c r="I148" s="20" t="str">
        <f aca="false">IF('Saída Estoque Fracionado'!A23="","",'Saída Estoque Fracionado'!B23)</f>
        <v/>
      </c>
      <c r="J148" s="20" t="str">
        <f aca="false">IF('Saída Estoque Fracionado'!A23="","",'Saída Estoque Fracionado'!I23&amp;"")</f>
        <v/>
      </c>
      <c r="K148" s="20" t="str">
        <f aca="false">IF('Saída Estoque Fracionado'!A23="","",'Saída Estoque Fracionado'!J23&amp;"")</f>
        <v/>
      </c>
    </row>
    <row r="149" customFormat="false" ht="15" hidden="false" customHeight="false" outlineLevel="0" collapsed="false">
      <c r="A149" s="18" t="str">
        <f aca="false">IF('Saída Estoque Fracionado'!A24="","",'Saída Estoque Fracionado'!A24)</f>
        <v/>
      </c>
      <c r="B149" s="20" t="str">
        <f aca="false">IF('Saída Estoque Fracionado'!A24="","","Saída Fracionado")</f>
        <v/>
      </c>
      <c r="C149" s="20" t="str">
        <f aca="false">IF('Saída Estoque Fracionado'!A24="","","Cozinha de Produção de Fracionados")</f>
        <v/>
      </c>
      <c r="D149" s="20" t="str">
        <f aca="false">IF('Saída Estoque Fracionado'!A24="","",'Saída Estoque Fracionado'!F24)</f>
        <v/>
      </c>
      <c r="E149" s="20" t="str">
        <f aca="false">IF('Saída Estoque Fracionado'!A24="","",'Saída Estoque Fracionado'!C24)</f>
        <v/>
      </c>
      <c r="F149" s="20" t="str">
        <f aca="false">IF('Saída Estoque Fracionado'!A24="","",'Saída Estoque Fracionado'!D24)</f>
        <v/>
      </c>
      <c r="G149" s="20" t="str">
        <f aca="false">IF('Saída Estoque Fracionado'!A24="","",'Saída Estoque Fracionado'!G24)</f>
        <v/>
      </c>
      <c r="H149" s="20" t="str">
        <f aca="false">IF('Saída Estoque Fracionado'!A24="","",'Saída Estoque Fracionado'!E24)</f>
        <v/>
      </c>
      <c r="I149" s="20" t="str">
        <f aca="false">IF('Saída Estoque Fracionado'!A24="","",'Saída Estoque Fracionado'!B24)</f>
        <v/>
      </c>
      <c r="J149" s="20" t="str">
        <f aca="false">IF('Saída Estoque Fracionado'!A24="","",'Saída Estoque Fracionado'!I24&amp;"")</f>
        <v/>
      </c>
      <c r="K149" s="20" t="str">
        <f aca="false">IF('Saída Estoque Fracionado'!A24="","",'Saída Estoque Fracionado'!J24&amp;"")</f>
        <v/>
      </c>
    </row>
    <row r="150" customFormat="false" ht="15" hidden="false" customHeight="false" outlineLevel="0" collapsed="false">
      <c r="A150" s="18" t="str">
        <f aca="false">IF('Saída Estoque Fracionado'!A25="","",'Saída Estoque Fracionado'!A25)</f>
        <v/>
      </c>
      <c r="B150" s="20" t="str">
        <f aca="false">IF('Saída Estoque Fracionado'!A25="","","Saída Fracionado")</f>
        <v/>
      </c>
      <c r="C150" s="20" t="str">
        <f aca="false">IF('Saída Estoque Fracionado'!A25="","","Cozinha de Produção de Fracionados")</f>
        <v/>
      </c>
      <c r="D150" s="20" t="str">
        <f aca="false">IF('Saída Estoque Fracionado'!A25="","",'Saída Estoque Fracionado'!F25)</f>
        <v/>
      </c>
      <c r="E150" s="20" t="str">
        <f aca="false">IF('Saída Estoque Fracionado'!A25="","",'Saída Estoque Fracionado'!C25)</f>
        <v/>
      </c>
      <c r="F150" s="20" t="str">
        <f aca="false">IF('Saída Estoque Fracionado'!A25="","",'Saída Estoque Fracionado'!D25)</f>
        <v/>
      </c>
      <c r="G150" s="20" t="str">
        <f aca="false">IF('Saída Estoque Fracionado'!A25="","",'Saída Estoque Fracionado'!G25)</f>
        <v/>
      </c>
      <c r="H150" s="20" t="str">
        <f aca="false">IF('Saída Estoque Fracionado'!A25="","",'Saída Estoque Fracionado'!E25)</f>
        <v/>
      </c>
      <c r="I150" s="20" t="str">
        <f aca="false">IF('Saída Estoque Fracionado'!A25="","",'Saída Estoque Fracionado'!B25)</f>
        <v/>
      </c>
      <c r="J150" s="20" t="str">
        <f aca="false">IF('Saída Estoque Fracionado'!A25="","",'Saída Estoque Fracionado'!I25&amp;"")</f>
        <v/>
      </c>
      <c r="K150" s="20" t="str">
        <f aca="false">IF('Saída Estoque Fracionado'!A25="","",'Saída Estoque Fracionado'!J25&amp;"")</f>
        <v/>
      </c>
    </row>
    <row r="151" customFormat="false" ht="15" hidden="false" customHeight="false" outlineLevel="0" collapsed="false">
      <c r="A151" s="18" t="str">
        <f aca="false">IF('Saída Estoque Fracionado'!A26="","",'Saída Estoque Fracionado'!A26)</f>
        <v/>
      </c>
      <c r="B151" s="20" t="str">
        <f aca="false">IF('Saída Estoque Fracionado'!A26="","","Saída Fracionado")</f>
        <v/>
      </c>
      <c r="C151" s="20" t="str">
        <f aca="false">IF('Saída Estoque Fracionado'!A26="","","Cozinha de Produção de Fracionados")</f>
        <v/>
      </c>
      <c r="D151" s="20" t="str">
        <f aca="false">IF('Saída Estoque Fracionado'!A26="","",'Saída Estoque Fracionado'!F26)</f>
        <v/>
      </c>
      <c r="E151" s="20" t="str">
        <f aca="false">IF('Saída Estoque Fracionado'!A26="","",'Saída Estoque Fracionado'!C26)</f>
        <v/>
      </c>
      <c r="F151" s="20" t="str">
        <f aca="false">IF('Saída Estoque Fracionado'!A26="","",'Saída Estoque Fracionado'!D26)</f>
        <v/>
      </c>
      <c r="G151" s="20" t="str">
        <f aca="false">IF('Saída Estoque Fracionado'!A26="","",'Saída Estoque Fracionado'!G26)</f>
        <v/>
      </c>
      <c r="H151" s="20" t="str">
        <f aca="false">IF('Saída Estoque Fracionado'!A26="","",'Saída Estoque Fracionado'!E26)</f>
        <v/>
      </c>
      <c r="I151" s="20" t="str">
        <f aca="false">IF('Saída Estoque Fracionado'!A26="","",'Saída Estoque Fracionado'!B26)</f>
        <v/>
      </c>
      <c r="J151" s="20" t="str">
        <f aca="false">IF('Saída Estoque Fracionado'!A26="","",'Saída Estoque Fracionado'!I26&amp;"")</f>
        <v/>
      </c>
      <c r="K151" s="20" t="str">
        <f aca="false">IF('Saída Estoque Fracionado'!A26="","",'Saída Estoque Fracionado'!J26&amp;"")</f>
        <v/>
      </c>
    </row>
    <row r="152" customFormat="false" ht="15" hidden="false" customHeight="false" outlineLevel="0" collapsed="false">
      <c r="A152" s="18" t="str">
        <f aca="false">IF('Saída Estoque Fracionado'!A27="","",'Saída Estoque Fracionado'!A27)</f>
        <v/>
      </c>
      <c r="B152" s="20" t="str">
        <f aca="false">IF('Saída Estoque Fracionado'!A27="","","Saída Fracionado")</f>
        <v/>
      </c>
      <c r="C152" s="20" t="str">
        <f aca="false">IF('Saída Estoque Fracionado'!A27="","","Cozinha de Produção de Fracionados")</f>
        <v/>
      </c>
      <c r="D152" s="20" t="str">
        <f aca="false">IF('Saída Estoque Fracionado'!A27="","",'Saída Estoque Fracionado'!F27)</f>
        <v/>
      </c>
      <c r="E152" s="20" t="str">
        <f aca="false">IF('Saída Estoque Fracionado'!A27="","",'Saída Estoque Fracionado'!C27)</f>
        <v/>
      </c>
      <c r="F152" s="20" t="str">
        <f aca="false">IF('Saída Estoque Fracionado'!A27="","",'Saída Estoque Fracionado'!D27)</f>
        <v/>
      </c>
      <c r="G152" s="20" t="str">
        <f aca="false">IF('Saída Estoque Fracionado'!A27="","",'Saída Estoque Fracionado'!G27)</f>
        <v/>
      </c>
      <c r="H152" s="20" t="str">
        <f aca="false">IF('Saída Estoque Fracionado'!A27="","",'Saída Estoque Fracionado'!E27)</f>
        <v/>
      </c>
      <c r="I152" s="20" t="str">
        <f aca="false">IF('Saída Estoque Fracionado'!A27="","",'Saída Estoque Fracionado'!B27)</f>
        <v/>
      </c>
      <c r="J152" s="20" t="str">
        <f aca="false">IF('Saída Estoque Fracionado'!A27="","",'Saída Estoque Fracionado'!I27&amp;"")</f>
        <v/>
      </c>
      <c r="K152" s="20" t="str">
        <f aca="false">IF('Saída Estoque Fracionado'!A27="","",'Saída Estoque Fracionado'!J27&amp;"")</f>
        <v/>
      </c>
    </row>
    <row r="153" customFormat="false" ht="15" hidden="false" customHeight="false" outlineLevel="0" collapsed="false">
      <c r="A153" s="18" t="str">
        <f aca="false">IF('Saída Estoque Fracionado'!A28="","",'Saída Estoque Fracionado'!A28)</f>
        <v/>
      </c>
      <c r="B153" s="20" t="str">
        <f aca="false">IF('Saída Estoque Fracionado'!A28="","","Saída Fracionado")</f>
        <v/>
      </c>
      <c r="C153" s="20" t="str">
        <f aca="false">IF('Saída Estoque Fracionado'!A28="","","Cozinha de Produção de Fracionados")</f>
        <v/>
      </c>
      <c r="D153" s="20" t="str">
        <f aca="false">IF('Saída Estoque Fracionado'!A28="","",'Saída Estoque Fracionado'!F28)</f>
        <v/>
      </c>
      <c r="E153" s="20" t="str">
        <f aca="false">IF('Saída Estoque Fracionado'!A28="","",'Saída Estoque Fracionado'!C28)</f>
        <v/>
      </c>
      <c r="F153" s="20" t="str">
        <f aca="false">IF('Saída Estoque Fracionado'!A28="","",'Saída Estoque Fracionado'!D28)</f>
        <v/>
      </c>
      <c r="G153" s="20" t="str">
        <f aca="false">IF('Saída Estoque Fracionado'!A28="","",'Saída Estoque Fracionado'!G28)</f>
        <v/>
      </c>
      <c r="H153" s="20" t="str">
        <f aca="false">IF('Saída Estoque Fracionado'!A28="","",'Saída Estoque Fracionado'!E28)</f>
        <v/>
      </c>
      <c r="I153" s="20" t="str">
        <f aca="false">IF('Saída Estoque Fracionado'!A28="","",'Saída Estoque Fracionado'!B28)</f>
        <v/>
      </c>
      <c r="J153" s="20" t="str">
        <f aca="false">IF('Saída Estoque Fracionado'!A28="","",'Saída Estoque Fracionado'!I28&amp;"")</f>
        <v/>
      </c>
      <c r="K153" s="20" t="str">
        <f aca="false">IF('Saída Estoque Fracionado'!A28="","",'Saída Estoque Fracionado'!J28&amp;"")</f>
        <v/>
      </c>
    </row>
    <row r="154" customFormat="false" ht="15" hidden="false" customHeight="false" outlineLevel="0" collapsed="false">
      <c r="A154" s="18" t="str">
        <f aca="false">IF('Saída Estoque Fracionado'!A29="","",'Saída Estoque Fracionado'!A29)</f>
        <v/>
      </c>
      <c r="B154" s="20" t="str">
        <f aca="false">IF('Saída Estoque Fracionado'!A29="","","Saída Fracionado")</f>
        <v/>
      </c>
      <c r="C154" s="20" t="str">
        <f aca="false">IF('Saída Estoque Fracionado'!A29="","","Cozinha de Produção de Fracionados")</f>
        <v/>
      </c>
      <c r="D154" s="20" t="str">
        <f aca="false">IF('Saída Estoque Fracionado'!A29="","",'Saída Estoque Fracionado'!F29)</f>
        <v/>
      </c>
      <c r="E154" s="20" t="str">
        <f aca="false">IF('Saída Estoque Fracionado'!A29="","",'Saída Estoque Fracionado'!C29)</f>
        <v/>
      </c>
      <c r="F154" s="20" t="str">
        <f aca="false">IF('Saída Estoque Fracionado'!A29="","",'Saída Estoque Fracionado'!D29)</f>
        <v/>
      </c>
      <c r="G154" s="20" t="str">
        <f aca="false">IF('Saída Estoque Fracionado'!A29="","",'Saída Estoque Fracionado'!G29)</f>
        <v/>
      </c>
      <c r="H154" s="20" t="str">
        <f aca="false">IF('Saída Estoque Fracionado'!A29="","",'Saída Estoque Fracionado'!E29)</f>
        <v/>
      </c>
      <c r="I154" s="20" t="str">
        <f aca="false">IF('Saída Estoque Fracionado'!A29="","",'Saída Estoque Fracionado'!B29)</f>
        <v/>
      </c>
      <c r="J154" s="20" t="str">
        <f aca="false">IF('Saída Estoque Fracionado'!A29="","",'Saída Estoque Fracionado'!I29&amp;"")</f>
        <v/>
      </c>
      <c r="K154" s="20" t="str">
        <f aca="false">IF('Saída Estoque Fracionado'!A29="","",'Saída Estoque Fracionado'!J29&amp;"")</f>
        <v/>
      </c>
    </row>
    <row r="155" customFormat="false" ht="15" hidden="false" customHeight="false" outlineLevel="0" collapsed="false">
      <c r="A155" s="18" t="str">
        <f aca="false">IF('Saída Estoque Fracionado'!A30="","",'Saída Estoque Fracionado'!A30)</f>
        <v/>
      </c>
      <c r="B155" s="20" t="str">
        <f aca="false">IF('Saída Estoque Fracionado'!A30="","","Saída Fracionado")</f>
        <v/>
      </c>
      <c r="C155" s="20" t="str">
        <f aca="false">IF('Saída Estoque Fracionado'!A30="","","Cozinha de Produção de Fracionados")</f>
        <v/>
      </c>
      <c r="D155" s="20" t="str">
        <f aca="false">IF('Saída Estoque Fracionado'!A30="","",'Saída Estoque Fracionado'!F30)</f>
        <v/>
      </c>
      <c r="E155" s="20" t="str">
        <f aca="false">IF('Saída Estoque Fracionado'!A30="","",'Saída Estoque Fracionado'!C30)</f>
        <v/>
      </c>
      <c r="F155" s="20" t="str">
        <f aca="false">IF('Saída Estoque Fracionado'!A30="","",'Saída Estoque Fracionado'!D30)</f>
        <v/>
      </c>
      <c r="G155" s="20" t="str">
        <f aca="false">IF('Saída Estoque Fracionado'!A30="","",'Saída Estoque Fracionado'!G30)</f>
        <v/>
      </c>
      <c r="H155" s="20" t="str">
        <f aca="false">IF('Saída Estoque Fracionado'!A30="","",'Saída Estoque Fracionado'!E30)</f>
        <v/>
      </c>
      <c r="I155" s="20" t="str">
        <f aca="false">IF('Saída Estoque Fracionado'!A30="","",'Saída Estoque Fracionado'!B30)</f>
        <v/>
      </c>
      <c r="J155" s="20" t="str">
        <f aca="false">IF('Saída Estoque Fracionado'!A30="","",'Saída Estoque Fracionado'!I30&amp;"")</f>
        <v/>
      </c>
      <c r="K155" s="20" t="str">
        <f aca="false">IF('Saída Estoque Fracionado'!A30="","",'Saída Estoque Fracionado'!J30&amp;"")</f>
        <v/>
      </c>
    </row>
    <row r="156" customFormat="false" ht="15" hidden="false" customHeight="false" outlineLevel="0" collapsed="false">
      <c r="A156" s="18" t="str">
        <f aca="false">IF('Saída Estoque Fracionado'!A31="","",'Saída Estoque Fracionado'!A31)</f>
        <v/>
      </c>
      <c r="B156" s="20" t="str">
        <f aca="false">IF('Saída Estoque Fracionado'!A31="","","Saída Fracionado")</f>
        <v/>
      </c>
      <c r="C156" s="20" t="str">
        <f aca="false">IF('Saída Estoque Fracionado'!A31="","","Cozinha de Produção de Fracionados")</f>
        <v/>
      </c>
      <c r="D156" s="20" t="str">
        <f aca="false">IF('Saída Estoque Fracionado'!A31="","",'Saída Estoque Fracionado'!F31)</f>
        <v/>
      </c>
      <c r="E156" s="20" t="str">
        <f aca="false">IF('Saída Estoque Fracionado'!A31="","",'Saída Estoque Fracionado'!C31)</f>
        <v/>
      </c>
      <c r="F156" s="20" t="str">
        <f aca="false">IF('Saída Estoque Fracionado'!A31="","",'Saída Estoque Fracionado'!D31)</f>
        <v/>
      </c>
      <c r="G156" s="20" t="str">
        <f aca="false">IF('Saída Estoque Fracionado'!A31="","",'Saída Estoque Fracionado'!G31)</f>
        <v/>
      </c>
      <c r="H156" s="20" t="str">
        <f aca="false">IF('Saída Estoque Fracionado'!A31="","",'Saída Estoque Fracionado'!E31)</f>
        <v/>
      </c>
      <c r="I156" s="20" t="str">
        <f aca="false">IF('Saída Estoque Fracionado'!A31="","",'Saída Estoque Fracionado'!B31)</f>
        <v/>
      </c>
      <c r="J156" s="20" t="str">
        <f aca="false">IF('Saída Estoque Fracionado'!A31="","",'Saída Estoque Fracionado'!I31&amp;"")</f>
        <v/>
      </c>
      <c r="K156" s="20" t="str">
        <f aca="false">IF('Saída Estoque Fracionado'!A31="","",'Saída Estoque Fracionado'!J31&amp;"")</f>
        <v/>
      </c>
    </row>
  </sheetData>
  <mergeCells count="5">
    <mergeCell ref="A2:K2"/>
    <mergeCell ref="A33:K33"/>
    <mergeCell ref="A64:K64"/>
    <mergeCell ref="A95:K95"/>
    <mergeCell ref="A126:K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9" t="s">
        <v>198</v>
      </c>
      <c r="B1" s="19"/>
      <c r="C1" s="19"/>
      <c r="D1" s="19"/>
      <c r="E1" s="19"/>
      <c r="F1" s="19"/>
      <c r="G1" s="19"/>
      <c r="H1" s="19"/>
      <c r="I1" s="19"/>
    </row>
    <row r="2" customFormat="false" ht="30" hidden="false" customHeight="true" outlineLevel="0" collapsed="false">
      <c r="A2" s="4" t="s">
        <v>199</v>
      </c>
      <c r="B2" s="4" t="s">
        <v>55</v>
      </c>
      <c r="C2" s="4" t="s">
        <v>133</v>
      </c>
      <c r="D2" s="4" t="s">
        <v>200</v>
      </c>
      <c r="E2" s="4" t="s">
        <v>201</v>
      </c>
      <c r="F2" s="4" t="s">
        <v>202</v>
      </c>
      <c r="G2" s="4" t="s">
        <v>58</v>
      </c>
      <c r="H2" s="4" t="s">
        <v>59</v>
      </c>
      <c r="I2" s="4" t="s">
        <v>203</v>
      </c>
    </row>
    <row r="3" customFormat="false" ht="15" hidden="false" customHeight="false" outlineLevel="0" collapsed="false">
      <c r="A3" s="11" t="str">
        <f aca="false">'Cadastro Produtos Brutos'!A2</f>
        <v>BR-001</v>
      </c>
      <c r="B3" s="11" t="str">
        <f aca="false">'Cadastro Produtos Brutos'!B2</f>
        <v>Salmão Fresco</v>
      </c>
      <c r="C3" s="11" t="str">
        <f aca="false">'Cadastro Produtos Brutos'!D2</f>
        <v>KG</v>
      </c>
      <c r="D3" s="16" t="n">
        <f aca="false">SUMIF('Entrada na Central'!$C:$C,A3,'Entrada na Central'!$G:$G)</f>
        <v>40</v>
      </c>
      <c r="E3" s="16" t="n">
        <f aca="false">SUMIF('Saída da Central'!$C:$C,A3,'Saída da Central'!$G:$G)</f>
        <v>25</v>
      </c>
      <c r="F3" s="16" t="n">
        <f aca="false">D3-E3</f>
        <v>15</v>
      </c>
      <c r="G3" s="21" t="n">
        <f aca="false">'Cadastro Produtos Brutos'!E2</f>
        <v>5</v>
      </c>
      <c r="H3" s="21" t="n">
        <f aca="false">'Cadastro Produtos Brutos'!F2</f>
        <v>50</v>
      </c>
      <c r="I3" s="20" t="str">
        <f aca="false">IF(F3&lt;=G3,"⚠ ABAIXO DO MÍNIMO",IF(F3&gt;=H3,"▲ ACIMA DO MÁXIMO","✓ NORMAL"))</f>
        <v>✓ NORMAL</v>
      </c>
    </row>
    <row r="4" customFormat="false" ht="15" hidden="false" customHeight="false" outlineLevel="0" collapsed="false">
      <c r="A4" s="11" t="str">
        <f aca="false">'Cadastro Produtos Brutos'!A3</f>
        <v>BR-002</v>
      </c>
      <c r="B4" s="11" t="str">
        <f aca="false">'Cadastro Produtos Brutos'!B3</f>
        <v>Arroz Japonês</v>
      </c>
      <c r="C4" s="11" t="str">
        <f aca="false">'Cadastro Produtos Brutos'!D3</f>
        <v>KG</v>
      </c>
      <c r="D4" s="16" t="n">
        <f aca="false">SUMIF('Entrada na Central'!$C:$C,A4,'Entrada na Central'!$G:$G)</f>
        <v>30</v>
      </c>
      <c r="E4" s="16" t="n">
        <f aca="false">SUMIF('Saída da Central'!$C:$C,A4,'Saída da Central'!$G:$G)</f>
        <v>20</v>
      </c>
      <c r="F4" s="16" t="n">
        <f aca="false">D4-E4</f>
        <v>10</v>
      </c>
      <c r="G4" s="21" t="n">
        <f aca="false">'Cadastro Produtos Brutos'!E3</f>
        <v>10</v>
      </c>
      <c r="H4" s="21" t="n">
        <f aca="false">'Cadastro Produtos Brutos'!F3</f>
        <v>100</v>
      </c>
      <c r="I4" s="20" t="str">
        <f aca="false">IF(F4&lt;=G4,"⚠ ABAIXO DO MÍNIMO",IF(F4&gt;=H4,"▲ ACIMA DO MÁXIMO","✓ NORMAL"))</f>
        <v>⚠ ABAIXO DO MÍNIMO</v>
      </c>
    </row>
    <row r="5" customFormat="false" ht="15" hidden="false" customHeight="false" outlineLevel="0" collapsed="false">
      <c r="A5" s="11" t="str">
        <f aca="false">'Cadastro Produtos Brutos'!A4</f>
        <v>BR-003</v>
      </c>
      <c r="B5" s="11" t="str">
        <f aca="false">'Cadastro Produtos Brutos'!B4</f>
        <v>Alface Americana</v>
      </c>
      <c r="C5" s="11" t="str">
        <f aca="false">'Cadastro Produtos Brutos'!D4</f>
        <v>UN</v>
      </c>
      <c r="D5" s="16" t="n">
        <f aca="false">SUMIF('Entrada na Central'!$C:$C,A5,'Entrada na Central'!$G:$G)</f>
        <v>15</v>
      </c>
      <c r="E5" s="16" t="n">
        <f aca="false">SUMIF('Saída da Central'!$C:$C,A5,'Saída da Central'!$G:$G)</f>
        <v>10</v>
      </c>
      <c r="F5" s="16" t="n">
        <f aca="false">D5-E5</f>
        <v>5</v>
      </c>
      <c r="G5" s="21" t="n">
        <f aca="false">'Cadastro Produtos Brutos'!E4</f>
        <v>5</v>
      </c>
      <c r="H5" s="21" t="n">
        <f aca="false">'Cadastro Produtos Brutos'!F4</f>
        <v>40</v>
      </c>
      <c r="I5" s="20" t="str">
        <f aca="false">IF(F5&lt;=G5,"⚠ ABAIXO DO MÍNIMO",IF(F5&gt;=H5,"▲ ACIMA DO MÁXIMO","✓ NORMAL"))</f>
        <v>⚠ ABAIXO DO MÍNIMO</v>
      </c>
    </row>
    <row r="6" customFormat="false" ht="15" hidden="false" customHeight="false" outlineLevel="0" collapsed="false">
      <c r="A6" s="11" t="str">
        <f aca="false">'Cadastro Produtos Brutos'!A5</f>
        <v>BR-004</v>
      </c>
      <c r="B6" s="11" t="str">
        <f aca="false">'Cadastro Produtos Brutos'!B5</f>
        <v>Filé de Frango</v>
      </c>
      <c r="C6" s="11" t="str">
        <f aca="false">'Cadastro Produtos Brutos'!D5</f>
        <v>KG</v>
      </c>
      <c r="D6" s="16" t="n">
        <f aca="false">SUMIF('Entrada na Central'!$C:$C,A6,'Entrada na Central'!$G:$G)</f>
        <v>25</v>
      </c>
      <c r="E6" s="16" t="n">
        <f aca="false">SUMIF('Saída da Central'!$C:$C,A6,'Saída da Central'!$G:$G)</f>
        <v>20</v>
      </c>
      <c r="F6" s="16" t="n">
        <f aca="false">D6-E6</f>
        <v>5</v>
      </c>
      <c r="G6" s="21" t="n">
        <f aca="false">'Cadastro Produtos Brutos'!E5</f>
        <v>8</v>
      </c>
      <c r="H6" s="21" t="n">
        <f aca="false">'Cadastro Produtos Brutos'!F5</f>
        <v>60</v>
      </c>
      <c r="I6" s="20" t="str">
        <f aca="false">IF(F6&lt;=G6,"⚠ ABAIXO DO MÍNIMO",IF(F6&gt;=H6,"▲ ACIMA DO MÁXIMO","✓ NORMAL"))</f>
        <v>⚠ ABAIXO DO MÍNIMO</v>
      </c>
    </row>
    <row r="7" customFormat="false" ht="15" hidden="false" customHeight="false" outlineLevel="0" collapsed="false">
      <c r="A7" s="11" t="str">
        <f aca="false">'Cadastro Produtos Brutos'!A6</f>
        <v>BR-005</v>
      </c>
      <c r="B7" s="11" t="str">
        <f aca="false">'Cadastro Produtos Brutos'!B6</f>
        <v>Tomate</v>
      </c>
      <c r="C7" s="11" t="str">
        <f aca="false">'Cadastro Produtos Brutos'!D6</f>
        <v>KG</v>
      </c>
      <c r="D7" s="16" t="n">
        <f aca="false">SUMIF('Entrada na Central'!$C:$C,A7,'Entrada na Central'!$G:$G)</f>
        <v>20</v>
      </c>
      <c r="E7" s="16" t="n">
        <f aca="false">SUMIF('Saída da Central'!$C:$C,A7,'Saída da Central'!$G:$G)</f>
        <v>12</v>
      </c>
      <c r="F7" s="16" t="n">
        <f aca="false">D7-E7</f>
        <v>8</v>
      </c>
      <c r="G7" s="21" t="n">
        <f aca="false">'Cadastro Produtos Brutos'!E6</f>
        <v>5</v>
      </c>
      <c r="H7" s="21" t="n">
        <f aca="false">'Cadastro Produtos Brutos'!F6</f>
        <v>40</v>
      </c>
      <c r="I7" s="20" t="str">
        <f aca="false">IF(F7&lt;=G7,"⚠ ABAIXO DO MÍNIMO",IF(F7&gt;=H7,"▲ ACIMA DO MÁXIMO","✓ NORMAL"))</f>
        <v>✓ NORMAL</v>
      </c>
    </row>
    <row r="8" customFormat="false" ht="15" hidden="false" customHeight="false" outlineLevel="0" collapsed="false">
      <c r="A8" s="11" t="str">
        <f aca="false">'Cadastro Produtos Brutos'!A7</f>
        <v>BR-006</v>
      </c>
      <c r="B8" s="11" t="str">
        <f aca="false">'Cadastro Produtos Brutos'!B7</f>
        <v>Queijo Muçarela</v>
      </c>
      <c r="C8" s="11" t="str">
        <f aca="false">'Cadastro Produtos Brutos'!D7</f>
        <v>KG</v>
      </c>
      <c r="D8" s="16" t="n">
        <f aca="false">SUMIF('Entrada na Central'!$C:$C,A8,'Entrada na Central'!$G:$G)</f>
        <v>0</v>
      </c>
      <c r="E8" s="16" t="n">
        <f aca="false">SUMIF('Saída da Central'!$C:$C,A8,'Saída da Central'!$G:$G)</f>
        <v>0</v>
      </c>
      <c r="F8" s="16" t="n">
        <f aca="false">D8-E8</f>
        <v>0</v>
      </c>
      <c r="G8" s="21" t="n">
        <f aca="false">'Cadastro Produtos Brutos'!E7</f>
        <v>5</v>
      </c>
      <c r="H8" s="21" t="n">
        <f aca="false">'Cadastro Produtos Brutos'!F7</f>
        <v>30</v>
      </c>
      <c r="I8" s="20" t="str">
        <f aca="false">IF(F8&lt;=G8,"⚠ ABAIXO DO MÍNIMO",IF(F8&gt;=H8,"▲ ACIMA DO MÁXIMO","✓ NORMAL"))</f>
        <v>⚠ ABAIXO DO MÍNIMO</v>
      </c>
    </row>
    <row r="10" customFormat="false" ht="15" hidden="false" customHeight="false" outlineLevel="0" collapsed="false">
      <c r="A10" s="19" t="s">
        <v>204</v>
      </c>
      <c r="B10" s="19"/>
      <c r="C10" s="19"/>
      <c r="D10" s="19"/>
      <c r="E10" s="19"/>
      <c r="F10" s="19"/>
      <c r="G10" s="19"/>
      <c r="H10" s="19"/>
      <c r="I10" s="19"/>
    </row>
    <row r="11" customFormat="false" ht="30" hidden="false" customHeight="true" outlineLevel="0" collapsed="false">
      <c r="A11" s="4" t="s">
        <v>199</v>
      </c>
      <c r="B11" s="4" t="s">
        <v>55</v>
      </c>
      <c r="C11" s="4" t="s">
        <v>133</v>
      </c>
      <c r="D11" s="4" t="s">
        <v>205</v>
      </c>
      <c r="E11" s="4" t="s">
        <v>206</v>
      </c>
      <c r="F11" s="4" t="s">
        <v>202</v>
      </c>
      <c r="G11" s="4" t="s">
        <v>58</v>
      </c>
      <c r="H11" s="4" t="s">
        <v>59</v>
      </c>
      <c r="I11" s="4" t="s">
        <v>203</v>
      </c>
    </row>
    <row r="12" customFormat="false" ht="15" hidden="false" customHeight="false" outlineLevel="0" collapsed="false">
      <c r="A12" s="11" t="str">
        <f aca="false">'Cadastro Produtos Fracionados'!A2</f>
        <v>FR-001</v>
      </c>
      <c r="B12" s="11" t="str">
        <f aca="false">'Cadastro Produtos Fracionados'!B2</f>
        <v>Salmão Fatiado para Sushi</v>
      </c>
      <c r="C12" s="11" t="str">
        <f aca="false">'Cadastro Produtos Fracionados'!D2</f>
        <v>KG</v>
      </c>
      <c r="D12" s="16" t="n">
        <f aca="false">SUMIF('Entrada Estoque Fracionado'!$C:$C,A12,'Entrada Estoque Fracionado'!$E:$E)</f>
        <v>17</v>
      </c>
      <c r="E12" s="16" t="n">
        <f aca="false">SUMIF('Saída Estoque Fracionado'!$C:$C,A12,'Saída Estoque Fracionado'!$G:$G)</f>
        <v>10</v>
      </c>
      <c r="F12" s="16" t="n">
        <f aca="false">D12-E12</f>
        <v>7</v>
      </c>
      <c r="G12" s="21" t="n">
        <f aca="false">'Cadastro Produtos Fracionados'!H2</f>
        <v>2</v>
      </c>
      <c r="H12" s="21" t="n">
        <f aca="false">'Cadastro Produtos Fracionados'!I2</f>
        <v>20</v>
      </c>
      <c r="I12" s="20" t="str">
        <f aca="false">IF(F12&lt;=G12,"⚠ ABAIXO DO MÍNIMO",IF(F12&gt;=H12,"▲ ACIMA DO MÁXIMO","✓ NORMAL"))</f>
        <v>✓ NORMAL</v>
      </c>
    </row>
    <row r="13" customFormat="false" ht="15" hidden="false" customHeight="false" outlineLevel="0" collapsed="false">
      <c r="A13" s="11" t="str">
        <f aca="false">'Cadastro Produtos Fracionados'!A3</f>
        <v>FR-002</v>
      </c>
      <c r="B13" s="11" t="str">
        <f aca="false">'Cadastro Produtos Fracionados'!B3</f>
        <v>Arroz Temperado para Sushi</v>
      </c>
      <c r="C13" s="11" t="str">
        <f aca="false">'Cadastro Produtos Fracionados'!D3</f>
        <v>KG</v>
      </c>
      <c r="D13" s="16" t="n">
        <f aca="false">SUMIF('Entrada Estoque Fracionado'!$C:$C,A13,'Entrada Estoque Fracionado'!$E:$E)</f>
        <v>22</v>
      </c>
      <c r="E13" s="16" t="n">
        <f aca="false">SUMIF('Saída Estoque Fracionado'!$C:$C,A13,'Saída Estoque Fracionado'!$G:$G)</f>
        <v>12</v>
      </c>
      <c r="F13" s="16" t="n">
        <f aca="false">D13-E13</f>
        <v>10</v>
      </c>
      <c r="G13" s="21" t="n">
        <f aca="false">'Cadastro Produtos Fracionados'!H3</f>
        <v>3</v>
      </c>
      <c r="H13" s="21" t="n">
        <f aca="false">'Cadastro Produtos Fracionados'!I3</f>
        <v>25</v>
      </c>
      <c r="I13" s="20" t="str">
        <f aca="false">IF(F13&lt;=G13,"⚠ ABAIXO DO MÍNIMO",IF(F13&gt;=H13,"▲ ACIMA DO MÁXIMO","✓ NORMAL"))</f>
        <v>✓ NORMAL</v>
      </c>
    </row>
    <row r="14" customFormat="false" ht="15" hidden="false" customHeight="false" outlineLevel="0" collapsed="false">
      <c r="A14" s="11" t="str">
        <f aca="false">'Cadastro Produtos Fracionados'!A4</f>
        <v>FR-003</v>
      </c>
      <c r="B14" s="11" t="str">
        <f aca="false">'Cadastro Produtos Fracionados'!B4</f>
        <v>Alface Higienizada e Cortada</v>
      </c>
      <c r="C14" s="11" t="str">
        <f aca="false">'Cadastro Produtos Fracionados'!D4</f>
        <v>KG</v>
      </c>
      <c r="D14" s="16" t="n">
        <f aca="false">SUMIF('Entrada Estoque Fracionado'!$C:$C,A14,'Entrada Estoque Fracionado'!$E:$E)</f>
        <v>8</v>
      </c>
      <c r="E14" s="16" t="n">
        <f aca="false">SUMIF('Saída Estoque Fracionado'!$C:$C,A14,'Saída Estoque Fracionado'!$G:$G)</f>
        <v>5</v>
      </c>
      <c r="F14" s="16" t="n">
        <f aca="false">D14-E14</f>
        <v>3</v>
      </c>
      <c r="G14" s="21" t="n">
        <f aca="false">'Cadastro Produtos Fracionados'!H4</f>
        <v>2</v>
      </c>
      <c r="H14" s="21" t="n">
        <f aca="false">'Cadastro Produtos Fracionados'!I4</f>
        <v>15</v>
      </c>
      <c r="I14" s="20" t="str">
        <f aca="false">IF(F14&lt;=G14,"⚠ ABAIXO DO MÍNIMO",IF(F14&gt;=H14,"▲ ACIMA DO MÁXIMO","✓ NORMAL"))</f>
        <v>✓ NORMAL</v>
      </c>
    </row>
    <row r="15" customFormat="false" ht="15" hidden="false" customHeight="false" outlineLevel="0" collapsed="false">
      <c r="A15" s="11" t="str">
        <f aca="false">'Cadastro Produtos Fracionados'!A5</f>
        <v>FR-004</v>
      </c>
      <c r="B15" s="11" t="str">
        <f aca="false">'Cadastro Produtos Fracionados'!B5</f>
        <v>Frango Grelhado em Cubos</v>
      </c>
      <c r="C15" s="11" t="str">
        <f aca="false">'Cadastro Produtos Fracionados'!D5</f>
        <v>KG</v>
      </c>
      <c r="D15" s="16" t="n">
        <f aca="false">SUMIF('Entrada Estoque Fracionado'!$C:$C,A15,'Entrada Estoque Fracionado'!$E:$E)</f>
        <v>0</v>
      </c>
      <c r="E15" s="16" t="n">
        <f aca="false">SUMIF('Saída Estoque Fracionado'!$C:$C,A15,'Saída Estoque Fracionado'!$G:$G)</f>
        <v>0</v>
      </c>
      <c r="F15" s="16" t="n">
        <f aca="false">D15-E15</f>
        <v>0</v>
      </c>
      <c r="G15" s="21" t="n">
        <f aca="false">'Cadastro Produtos Fracionados'!H5</f>
        <v>2</v>
      </c>
      <c r="H15" s="21" t="n">
        <f aca="false">'Cadastro Produtos Fracionados'!I5</f>
        <v>15</v>
      </c>
      <c r="I15" s="20" t="str">
        <f aca="false">IF(F15&lt;=G15,"⚠ ABAIXO DO MÍNIMO",IF(F15&gt;=H15,"▲ ACIMA DO MÁXIMO","✓ NORMAL"))</f>
        <v>⚠ ABAIXO DO MÍNIMO</v>
      </c>
    </row>
    <row r="16" customFormat="false" ht="15" hidden="false" customHeight="false" outlineLevel="0" collapsed="false">
      <c r="A16" s="11" t="str">
        <f aca="false">'Cadastro Produtos Fracionados'!A6</f>
        <v>FR-005</v>
      </c>
      <c r="B16" s="11" t="str">
        <f aca="false">'Cadastro Produtos Fracionados'!B6</f>
        <v>Tomate Picado</v>
      </c>
      <c r="C16" s="11" t="str">
        <f aca="false">'Cadastro Produtos Fracionados'!D6</f>
        <v>KG</v>
      </c>
      <c r="D16" s="16" t="n">
        <f aca="false">SUMIF('Entrada Estoque Fracionado'!$C:$C,A16,'Entrada Estoque Fracionado'!$E:$E)</f>
        <v>11</v>
      </c>
      <c r="E16" s="16" t="n">
        <f aca="false">SUMIF('Saída Estoque Fracionado'!$C:$C,A16,'Saída Estoque Fracionado'!$G:$G)</f>
        <v>6</v>
      </c>
      <c r="F16" s="16" t="n">
        <f aca="false">D16-E16</f>
        <v>5</v>
      </c>
      <c r="G16" s="21" t="n">
        <f aca="false">'Cadastro Produtos Fracionados'!H6</f>
        <v>2</v>
      </c>
      <c r="H16" s="21" t="n">
        <f aca="false">'Cadastro Produtos Fracionados'!I6</f>
        <v>15</v>
      </c>
      <c r="I16" s="20" t="str">
        <f aca="false">IF(F16&lt;=G16,"⚠ ABAIXO DO MÍNIMO",IF(F16&gt;=H16,"▲ ACIMA DO MÁXIMO","✓ NORMAL"))</f>
        <v>✓ NORMAL</v>
      </c>
    </row>
  </sheetData>
  <mergeCells count="2">
    <mergeCell ref="A1:I1"/>
    <mergeCell ref="A10:I10"/>
  </mergeCells>
  <conditionalFormatting sqref="I3:I8">
    <cfRule type="expression" priority="2" aboveAverage="0" equalAverage="0" bottom="0" percent="0" rank="0" text="" dxfId="0">
      <formula>LEFT(I3,1)="⚠"</formula>
    </cfRule>
    <cfRule type="expression" priority="3" aboveAverage="0" equalAverage="0" bottom="0" percent="0" rank="0" text="" dxfId="1">
      <formula>LEFT(I3,1)="✓"</formula>
    </cfRule>
  </conditionalFormatting>
  <conditionalFormatting sqref="I12:I16">
    <cfRule type="expression" priority="4" aboveAverage="0" equalAverage="0" bottom="0" percent="0" rank="0" text="" dxfId="0">
      <formula>LEFT(I12,1)="⚠"</formula>
    </cfRule>
    <cfRule type="expression" priority="5" aboveAverage="0" equalAverage="0" bottom="0" percent="0" rank="0" text="" dxfId="1">
      <formula>LEFT(I12,1)="✓"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30" hidden="false" customHeight="true" outlineLevel="0" collapsed="false">
      <c r="A1" s="4" t="s">
        <v>207</v>
      </c>
      <c r="B1" s="4" t="s">
        <v>208</v>
      </c>
      <c r="C1" s="4" t="s">
        <v>54</v>
      </c>
      <c r="D1" s="4" t="s">
        <v>55</v>
      </c>
      <c r="E1" s="4" t="s">
        <v>133</v>
      </c>
      <c r="F1" s="4" t="s">
        <v>202</v>
      </c>
      <c r="G1" s="4" t="s">
        <v>203</v>
      </c>
    </row>
    <row r="2" customFormat="false" ht="15" hidden="false" customHeight="false" outlineLevel="0" collapsed="false">
      <c r="A2" s="8" t="s">
        <v>116</v>
      </c>
      <c r="B2" s="8" t="s">
        <v>209</v>
      </c>
      <c r="C2" s="11" t="str">
        <f aca="false">'Cadastro Produtos Brutos'!A2</f>
        <v>BR-001</v>
      </c>
      <c r="D2" s="11" t="str">
        <f aca="false">'Cadastro Produtos Brutos'!B2</f>
        <v>Salmão Fresco</v>
      </c>
      <c r="E2" s="11" t="str">
        <f aca="false">'Cadastro Produtos Brutos'!D2</f>
        <v>KG</v>
      </c>
      <c r="F2" s="16" t="n">
        <f aca="false">SUMIF('Entrada na Central'!$C:$C,C2,'Entrada na Central'!$G:$G)-SUMIF('Saída da Central'!$C:$C,C2,'Saída da Central'!$G:$G)</f>
        <v>15</v>
      </c>
      <c r="G2" s="20" t="str">
        <f aca="false">IF(F2&lt;=('Cadastro Produtos Brutos'!E2),"⚠ ABAIXO DO MÍNIMO","✓ NORMAL")</f>
        <v>✓ NORMAL</v>
      </c>
    </row>
    <row r="3" customFormat="false" ht="15" hidden="false" customHeight="false" outlineLevel="0" collapsed="false">
      <c r="A3" s="8" t="s">
        <v>116</v>
      </c>
      <c r="B3" s="8" t="s">
        <v>209</v>
      </c>
      <c r="C3" s="11" t="str">
        <f aca="false">'Cadastro Produtos Brutos'!A3</f>
        <v>BR-002</v>
      </c>
      <c r="D3" s="11" t="str">
        <f aca="false">'Cadastro Produtos Brutos'!B3</f>
        <v>Arroz Japonês</v>
      </c>
      <c r="E3" s="11" t="str">
        <f aca="false">'Cadastro Produtos Brutos'!D3</f>
        <v>KG</v>
      </c>
      <c r="F3" s="16" t="n">
        <f aca="false">SUMIF('Entrada na Central'!$C:$C,C3,'Entrada na Central'!$G:$G)-SUMIF('Saída da Central'!$C:$C,C3,'Saída da Central'!$G:$G)</f>
        <v>10</v>
      </c>
      <c r="G3" s="20" t="str">
        <f aca="false">IF(F3&lt;=('Cadastro Produtos Brutos'!E3),"⚠ ABAIXO DO MÍNIMO","✓ NORMAL")</f>
        <v>⚠ ABAIXO DO MÍNIMO</v>
      </c>
    </row>
    <row r="4" customFormat="false" ht="15" hidden="false" customHeight="false" outlineLevel="0" collapsed="false">
      <c r="A4" s="8" t="s">
        <v>116</v>
      </c>
      <c r="B4" s="8" t="s">
        <v>209</v>
      </c>
      <c r="C4" s="11" t="str">
        <f aca="false">'Cadastro Produtos Brutos'!A4</f>
        <v>BR-003</v>
      </c>
      <c r="D4" s="11" t="str">
        <f aca="false">'Cadastro Produtos Brutos'!B4</f>
        <v>Alface Americana</v>
      </c>
      <c r="E4" s="11" t="str">
        <f aca="false">'Cadastro Produtos Brutos'!D4</f>
        <v>UN</v>
      </c>
      <c r="F4" s="16" t="n">
        <f aca="false">SUMIF('Entrada na Central'!$C:$C,C4,'Entrada na Central'!$G:$G)-SUMIF('Saída da Central'!$C:$C,C4,'Saída da Central'!$G:$G)</f>
        <v>5</v>
      </c>
      <c r="G4" s="20" t="str">
        <f aca="false">IF(F4&lt;=('Cadastro Produtos Brutos'!E4),"⚠ ABAIXO DO MÍNIMO","✓ NORMAL")</f>
        <v>⚠ ABAIXO DO MÍNIMO</v>
      </c>
    </row>
    <row r="5" customFormat="false" ht="15" hidden="false" customHeight="false" outlineLevel="0" collapsed="false">
      <c r="A5" s="8" t="s">
        <v>116</v>
      </c>
      <c r="B5" s="8" t="s">
        <v>209</v>
      </c>
      <c r="C5" s="11" t="str">
        <f aca="false">'Cadastro Produtos Brutos'!A5</f>
        <v>BR-004</v>
      </c>
      <c r="D5" s="11" t="str">
        <f aca="false">'Cadastro Produtos Brutos'!B5</f>
        <v>Filé de Frango</v>
      </c>
      <c r="E5" s="11" t="str">
        <f aca="false">'Cadastro Produtos Brutos'!D5</f>
        <v>KG</v>
      </c>
      <c r="F5" s="16" t="n">
        <f aca="false">SUMIF('Entrada na Central'!$C:$C,C5,'Entrada na Central'!$G:$G)-SUMIF('Saída da Central'!$C:$C,C5,'Saída da Central'!$G:$G)</f>
        <v>5</v>
      </c>
      <c r="G5" s="20" t="str">
        <f aca="false">IF(F5&lt;=('Cadastro Produtos Brutos'!E5),"⚠ ABAIXO DO MÍNIMO","✓ NORMAL")</f>
        <v>⚠ ABAIXO DO MÍNIMO</v>
      </c>
    </row>
    <row r="6" customFormat="false" ht="15" hidden="false" customHeight="false" outlineLevel="0" collapsed="false">
      <c r="A6" s="8" t="s">
        <v>116</v>
      </c>
      <c r="B6" s="8" t="s">
        <v>209</v>
      </c>
      <c r="C6" s="11" t="str">
        <f aca="false">'Cadastro Produtos Brutos'!A6</f>
        <v>BR-005</v>
      </c>
      <c r="D6" s="11" t="str">
        <f aca="false">'Cadastro Produtos Brutos'!B6</f>
        <v>Tomate</v>
      </c>
      <c r="E6" s="11" t="str">
        <f aca="false">'Cadastro Produtos Brutos'!D6</f>
        <v>KG</v>
      </c>
      <c r="F6" s="16" t="n">
        <f aca="false">SUMIF('Entrada na Central'!$C:$C,C6,'Entrada na Central'!$G:$G)-SUMIF('Saída da Central'!$C:$C,C6,'Saída da Central'!$G:$G)</f>
        <v>8</v>
      </c>
      <c r="G6" s="20" t="str">
        <f aca="false">IF(F6&lt;=('Cadastro Produtos Brutos'!E6),"⚠ ABAIXO DO MÍNIMO","✓ NORMAL")</f>
        <v>✓ NORMAL</v>
      </c>
    </row>
    <row r="7" customFormat="false" ht="15" hidden="false" customHeight="false" outlineLevel="0" collapsed="false">
      <c r="A7" s="8" t="s">
        <v>116</v>
      </c>
      <c r="B7" s="8" t="s">
        <v>209</v>
      </c>
      <c r="C7" s="11" t="str">
        <f aca="false">'Cadastro Produtos Brutos'!A7</f>
        <v>BR-006</v>
      </c>
      <c r="D7" s="11" t="str">
        <f aca="false">'Cadastro Produtos Brutos'!B7</f>
        <v>Queijo Muçarela</v>
      </c>
      <c r="E7" s="11" t="str">
        <f aca="false">'Cadastro Produtos Brutos'!D7</f>
        <v>KG</v>
      </c>
      <c r="F7" s="16" t="n">
        <f aca="false">SUMIF('Entrada na Central'!$C:$C,C7,'Entrada na Central'!$G:$G)-SUMIF('Saída da Central'!$C:$C,C7,'Saída da Central'!$G:$G)</f>
        <v>0</v>
      </c>
      <c r="G7" s="20" t="str">
        <f aca="false">IF(F7&lt;=('Cadastro Produtos Brutos'!E7),"⚠ ABAIXO DO MÍNIMO","✓ NORMAL")</f>
        <v>⚠ ABAIXO DO MÍNIMO</v>
      </c>
    </row>
    <row r="8" customFormat="false" ht="15" hidden="false" customHeight="false" outlineLevel="0" collapsed="false">
      <c r="A8" s="8" t="s">
        <v>128</v>
      </c>
      <c r="B8" s="8" t="s">
        <v>209</v>
      </c>
      <c r="C8" s="11" t="str">
        <f aca="false">'Cadastro Produtos Brutos'!A2</f>
        <v>BR-001</v>
      </c>
      <c r="D8" s="11" t="str">
        <f aca="false">'Cadastro Produtos Brutos'!B2</f>
        <v>Salmão Fresco</v>
      </c>
      <c r="E8" s="11" t="str">
        <f aca="false">'Cadastro Produtos Brutos'!D2</f>
        <v>KG</v>
      </c>
      <c r="F8" s="16" t="n">
        <f aca="false">SUMIFS('Saída da Central'!$G:$G,'Saída da Central'!$C:$C,C8,'Saída da Central'!$F:$F,"Cozinha de Produção de Fracionados")-SUMIF('Produção de Fracionados'!$E:$E,C8,'Produção de Fracionados'!$G:$G)</f>
        <v>5</v>
      </c>
      <c r="G8" s="20" t="str">
        <f aca="false">IF(F8&lt;=(0),"⚠ ABAIXO DO MÍNIMO","✓ NORMAL")</f>
        <v>✓ NORMAL</v>
      </c>
    </row>
    <row r="9" customFormat="false" ht="15" hidden="false" customHeight="false" outlineLevel="0" collapsed="false">
      <c r="A9" s="8" t="s">
        <v>128</v>
      </c>
      <c r="B9" s="8" t="s">
        <v>209</v>
      </c>
      <c r="C9" s="11" t="str">
        <f aca="false">'Cadastro Produtos Brutos'!A3</f>
        <v>BR-002</v>
      </c>
      <c r="D9" s="11" t="str">
        <f aca="false">'Cadastro Produtos Brutos'!B3</f>
        <v>Arroz Japonês</v>
      </c>
      <c r="E9" s="11" t="str">
        <f aca="false">'Cadastro Produtos Brutos'!D3</f>
        <v>KG</v>
      </c>
      <c r="F9" s="16" t="n">
        <f aca="false">SUMIFS('Saída da Central'!$G:$G,'Saída da Central'!$C:$C,C9,'Saída da Central'!$F:$F,"Cozinha de Produção de Fracionados")-SUMIF('Produção de Fracionados'!$E:$E,C9,'Produção de Fracionados'!$G:$G)</f>
        <v>2</v>
      </c>
      <c r="G9" s="20" t="str">
        <f aca="false">IF(F9&lt;=(0),"⚠ ABAIXO DO MÍNIMO","✓ NORMAL")</f>
        <v>✓ NORMAL</v>
      </c>
    </row>
    <row r="10" customFormat="false" ht="15" hidden="false" customHeight="false" outlineLevel="0" collapsed="false">
      <c r="A10" s="8" t="s">
        <v>128</v>
      </c>
      <c r="B10" s="8" t="s">
        <v>209</v>
      </c>
      <c r="C10" s="11" t="str">
        <f aca="false">'Cadastro Produtos Brutos'!A4</f>
        <v>BR-003</v>
      </c>
      <c r="D10" s="11" t="str">
        <f aca="false">'Cadastro Produtos Brutos'!B4</f>
        <v>Alface Americana</v>
      </c>
      <c r="E10" s="11" t="str">
        <f aca="false">'Cadastro Produtos Brutos'!D4</f>
        <v>UN</v>
      </c>
      <c r="F10" s="16" t="n">
        <f aca="false">SUMIFS('Saída da Central'!$G:$G,'Saída da Central'!$C:$C,C10,'Saída da Central'!$F:$F,"Cozinha de Produção de Fracionados")-SUMIF('Produção de Fracionados'!$E:$E,C10,'Produção de Fracionados'!$G:$G)</f>
        <v>0</v>
      </c>
      <c r="G10" s="20" t="str">
        <f aca="false">IF(F10&lt;=(0),"⚠ ABAIXO DO MÍNIMO","✓ NORMAL")</f>
        <v>⚠ ABAIXO DO MÍNIMO</v>
      </c>
    </row>
    <row r="11" customFormat="false" ht="15" hidden="false" customHeight="false" outlineLevel="0" collapsed="false">
      <c r="A11" s="8" t="s">
        <v>128</v>
      </c>
      <c r="B11" s="8" t="s">
        <v>209</v>
      </c>
      <c r="C11" s="11" t="str">
        <f aca="false">'Cadastro Produtos Brutos'!A5</f>
        <v>BR-004</v>
      </c>
      <c r="D11" s="11" t="str">
        <f aca="false">'Cadastro Produtos Brutos'!B5</f>
        <v>Filé de Frango</v>
      </c>
      <c r="E11" s="11" t="str">
        <f aca="false">'Cadastro Produtos Brutos'!D5</f>
        <v>KG</v>
      </c>
      <c r="F11" s="16" t="n">
        <f aca="false">SUMIFS('Saída da Central'!$G:$G,'Saída da Central'!$C:$C,C11,'Saída da Central'!$F:$F,"Cozinha de Produção de Fracionados")-SUMIF('Produção de Fracionados'!$E:$E,C11,'Produção de Fracionados'!$G:$G)</f>
        <v>0</v>
      </c>
      <c r="G11" s="20" t="str">
        <f aca="false">IF(F11&lt;=(0),"⚠ ABAIXO DO MÍNIMO","✓ NORMAL")</f>
        <v>⚠ ABAIXO DO MÍNIMO</v>
      </c>
    </row>
    <row r="12" customFormat="false" ht="15" hidden="false" customHeight="false" outlineLevel="0" collapsed="false">
      <c r="A12" s="8" t="s">
        <v>128</v>
      </c>
      <c r="B12" s="8" t="s">
        <v>209</v>
      </c>
      <c r="C12" s="11" t="str">
        <f aca="false">'Cadastro Produtos Brutos'!A6</f>
        <v>BR-005</v>
      </c>
      <c r="D12" s="11" t="str">
        <f aca="false">'Cadastro Produtos Brutos'!B6</f>
        <v>Tomate</v>
      </c>
      <c r="E12" s="11" t="str">
        <f aca="false">'Cadastro Produtos Brutos'!D6</f>
        <v>KG</v>
      </c>
      <c r="F12" s="16" t="n">
        <f aca="false">SUMIFS('Saída da Central'!$G:$G,'Saída da Central'!$C:$C,C12,'Saída da Central'!$F:$F,"Cozinha de Produção de Fracionados")-SUMIF('Produção de Fracionados'!$E:$E,C12,'Produção de Fracionados'!$G:$G)</f>
        <v>0</v>
      </c>
      <c r="G12" s="20" t="str">
        <f aca="false">IF(F12&lt;=(0),"⚠ ABAIXO DO MÍNIMO","✓ NORMAL")</f>
        <v>⚠ ABAIXO DO MÍNIMO</v>
      </c>
    </row>
    <row r="13" customFormat="false" ht="15" hidden="false" customHeight="false" outlineLevel="0" collapsed="false">
      <c r="A13" s="8" t="s">
        <v>128</v>
      </c>
      <c r="B13" s="8" t="s">
        <v>209</v>
      </c>
      <c r="C13" s="11" t="str">
        <f aca="false">'Cadastro Produtos Brutos'!A7</f>
        <v>BR-006</v>
      </c>
      <c r="D13" s="11" t="str">
        <f aca="false">'Cadastro Produtos Brutos'!B7</f>
        <v>Queijo Muçarela</v>
      </c>
      <c r="E13" s="11" t="str">
        <f aca="false">'Cadastro Produtos Brutos'!D7</f>
        <v>KG</v>
      </c>
      <c r="F13" s="16" t="n">
        <f aca="false">SUMIFS('Saída da Central'!$G:$G,'Saída da Central'!$C:$C,C13,'Saída da Central'!$F:$F,"Cozinha de Produção de Fracionados")-SUMIF('Produção de Fracionados'!$E:$E,C13,'Produção de Fracionados'!$G:$G)</f>
        <v>0</v>
      </c>
      <c r="G13" s="20" t="str">
        <f aca="false">IF(F13&lt;=(0),"⚠ ABAIXO DO MÍNIMO","✓ NORMAL")</f>
        <v>⚠ ABAIXO DO MÍNIMO</v>
      </c>
    </row>
    <row r="14" customFormat="false" ht="15" hidden="false" customHeight="false" outlineLevel="0" collapsed="false">
      <c r="A14" s="8" t="s">
        <v>121</v>
      </c>
      <c r="B14" s="8" t="s">
        <v>209</v>
      </c>
      <c r="C14" s="11" t="str">
        <f aca="false">'Cadastro Produtos Brutos'!A2</f>
        <v>BR-001</v>
      </c>
      <c r="D14" s="11" t="str">
        <f aca="false">'Cadastro Produtos Brutos'!B2</f>
        <v>Salmão Fresco</v>
      </c>
      <c r="E14" s="11" t="str">
        <f aca="false">'Cadastro Produtos Brutos'!D2</f>
        <v>KG</v>
      </c>
      <c r="F14" s="16" t="n">
        <f aca="false">SUMIFS('Saída da Central'!$G:$G,'Saída da Central'!$C:$C,C14,'Saída da Central'!$F:$F,"Buffet Fran Casaria")</f>
        <v>0</v>
      </c>
      <c r="G14" s="20" t="str">
        <f aca="false">IF(F14&lt;=(0),"⚠ ABAIXO DO MÍNIMO","✓ NORMAL")</f>
        <v>⚠ ABAIXO DO MÍNIMO</v>
      </c>
    </row>
    <row r="15" customFormat="false" ht="15" hidden="false" customHeight="false" outlineLevel="0" collapsed="false">
      <c r="A15" s="8" t="s">
        <v>121</v>
      </c>
      <c r="B15" s="8" t="s">
        <v>209</v>
      </c>
      <c r="C15" s="11" t="str">
        <f aca="false">'Cadastro Produtos Brutos'!A3</f>
        <v>BR-002</v>
      </c>
      <c r="D15" s="11" t="str">
        <f aca="false">'Cadastro Produtos Brutos'!B3</f>
        <v>Arroz Japonês</v>
      </c>
      <c r="E15" s="11" t="str">
        <f aca="false">'Cadastro Produtos Brutos'!D3</f>
        <v>KG</v>
      </c>
      <c r="F15" s="16" t="n">
        <f aca="false">SUMIFS('Saída da Central'!$G:$G,'Saída da Central'!$C:$C,C15,'Saída da Central'!$F:$F,"Buffet Fran Casaria")</f>
        <v>0</v>
      </c>
      <c r="G15" s="20" t="str">
        <f aca="false">IF(F15&lt;=(0),"⚠ ABAIXO DO MÍNIMO","✓ NORMAL")</f>
        <v>⚠ ABAIXO DO MÍNIMO</v>
      </c>
    </row>
    <row r="16" customFormat="false" ht="15" hidden="false" customHeight="false" outlineLevel="0" collapsed="false">
      <c r="A16" s="8" t="s">
        <v>121</v>
      </c>
      <c r="B16" s="8" t="s">
        <v>209</v>
      </c>
      <c r="C16" s="11" t="str">
        <f aca="false">'Cadastro Produtos Brutos'!A4</f>
        <v>BR-003</v>
      </c>
      <c r="D16" s="11" t="str">
        <f aca="false">'Cadastro Produtos Brutos'!B4</f>
        <v>Alface Americana</v>
      </c>
      <c r="E16" s="11" t="str">
        <f aca="false">'Cadastro Produtos Brutos'!D4</f>
        <v>UN</v>
      </c>
      <c r="F16" s="16" t="n">
        <f aca="false">SUMIFS('Saída da Central'!$G:$G,'Saída da Central'!$C:$C,C16,'Saída da Central'!$F:$F,"Buffet Fran Casaria")</f>
        <v>0</v>
      </c>
      <c r="G16" s="20" t="str">
        <f aca="false">IF(F16&lt;=(0),"⚠ ABAIXO DO MÍNIMO","✓ NORMAL")</f>
        <v>⚠ ABAIXO DO MÍNIMO</v>
      </c>
    </row>
    <row r="17" customFormat="false" ht="15" hidden="false" customHeight="false" outlineLevel="0" collapsed="false">
      <c r="A17" s="8" t="s">
        <v>121</v>
      </c>
      <c r="B17" s="8" t="s">
        <v>209</v>
      </c>
      <c r="C17" s="11" t="str">
        <f aca="false">'Cadastro Produtos Brutos'!A5</f>
        <v>BR-004</v>
      </c>
      <c r="D17" s="11" t="str">
        <f aca="false">'Cadastro Produtos Brutos'!B5</f>
        <v>Filé de Frango</v>
      </c>
      <c r="E17" s="11" t="str">
        <f aca="false">'Cadastro Produtos Brutos'!D5</f>
        <v>KG</v>
      </c>
      <c r="F17" s="16" t="n">
        <f aca="false">SUMIFS('Saída da Central'!$G:$G,'Saída da Central'!$C:$C,C17,'Saída da Central'!$F:$F,"Buffet Fran Casaria")</f>
        <v>5</v>
      </c>
      <c r="G17" s="20" t="str">
        <f aca="false">IF(F17&lt;=(0),"⚠ ABAIXO DO MÍNIMO","✓ NORMAL")</f>
        <v>✓ NORMAL</v>
      </c>
    </row>
    <row r="18" customFormat="false" ht="15" hidden="false" customHeight="false" outlineLevel="0" collapsed="false">
      <c r="A18" s="8" t="s">
        <v>121</v>
      </c>
      <c r="B18" s="8" t="s">
        <v>209</v>
      </c>
      <c r="C18" s="11" t="str">
        <f aca="false">'Cadastro Produtos Brutos'!A6</f>
        <v>BR-005</v>
      </c>
      <c r="D18" s="11" t="str">
        <f aca="false">'Cadastro Produtos Brutos'!B6</f>
        <v>Tomate</v>
      </c>
      <c r="E18" s="11" t="str">
        <f aca="false">'Cadastro Produtos Brutos'!D6</f>
        <v>KG</v>
      </c>
      <c r="F18" s="16" t="n">
        <f aca="false">SUMIFS('Saída da Central'!$G:$G,'Saída da Central'!$C:$C,C18,'Saída da Central'!$F:$F,"Buffet Fran Casaria")</f>
        <v>0</v>
      </c>
      <c r="G18" s="20" t="str">
        <f aca="false">IF(F18&lt;=(0),"⚠ ABAIXO DO MÍNIMO","✓ NORMAL")</f>
        <v>⚠ ABAIXO DO MÍNIMO</v>
      </c>
    </row>
    <row r="19" customFormat="false" ht="15" hidden="false" customHeight="false" outlineLevel="0" collapsed="false">
      <c r="A19" s="8" t="s">
        <v>121</v>
      </c>
      <c r="B19" s="8" t="s">
        <v>209</v>
      </c>
      <c r="C19" s="11" t="str">
        <f aca="false">'Cadastro Produtos Brutos'!A7</f>
        <v>BR-006</v>
      </c>
      <c r="D19" s="11" t="str">
        <f aca="false">'Cadastro Produtos Brutos'!B7</f>
        <v>Queijo Muçarela</v>
      </c>
      <c r="E19" s="11" t="str">
        <f aca="false">'Cadastro Produtos Brutos'!D7</f>
        <v>KG</v>
      </c>
      <c r="F19" s="16" t="n">
        <f aca="false">SUMIFS('Saída da Central'!$G:$G,'Saída da Central'!$C:$C,C19,'Saída da Central'!$F:$F,"Buffet Fran Casaria")</f>
        <v>0</v>
      </c>
      <c r="G19" s="20" t="str">
        <f aca="false">IF(F19&lt;=(0),"⚠ ABAIXO DO MÍNIMO","✓ NORMAL")</f>
        <v>⚠ ABAIXO DO MÍNIMO</v>
      </c>
    </row>
    <row r="20" customFormat="false" ht="15" hidden="false" customHeight="false" outlineLevel="0" collapsed="false">
      <c r="A20" s="8" t="s">
        <v>124</v>
      </c>
      <c r="B20" s="8" t="s">
        <v>209</v>
      </c>
      <c r="C20" s="11" t="str">
        <f aca="false">'Cadastro Produtos Brutos'!A2</f>
        <v>BR-001</v>
      </c>
      <c r="D20" s="11" t="str">
        <f aca="false">'Cadastro Produtos Brutos'!B2</f>
        <v>Salmão Fresco</v>
      </c>
      <c r="E20" s="11" t="str">
        <f aca="false">'Cadastro Produtos Brutos'!D2</f>
        <v>KG</v>
      </c>
      <c r="F20" s="16" t="n">
        <f aca="false">SUMIFS('Saída da Central'!$G:$G,'Saída da Central'!$C:$C,C20,'Saída da Central'!$F:$F,"Sushi")</f>
        <v>0</v>
      </c>
      <c r="G20" s="20" t="str">
        <f aca="false">IF(F20&lt;=(0),"⚠ ABAIXO DO MÍNIMO","✓ NORMAL")</f>
        <v>⚠ ABAIXO DO MÍNIMO</v>
      </c>
    </row>
    <row r="21" customFormat="false" ht="15" hidden="false" customHeight="false" outlineLevel="0" collapsed="false">
      <c r="A21" s="8" t="s">
        <v>124</v>
      </c>
      <c r="B21" s="8" t="s">
        <v>209</v>
      </c>
      <c r="C21" s="11" t="str">
        <f aca="false">'Cadastro Produtos Brutos'!A3</f>
        <v>BR-002</v>
      </c>
      <c r="D21" s="11" t="str">
        <f aca="false">'Cadastro Produtos Brutos'!B3</f>
        <v>Arroz Japonês</v>
      </c>
      <c r="E21" s="11" t="str">
        <f aca="false">'Cadastro Produtos Brutos'!D3</f>
        <v>KG</v>
      </c>
      <c r="F21" s="16" t="n">
        <f aca="false">SUMIFS('Saída da Central'!$G:$G,'Saída da Central'!$C:$C,C21,'Saída da Central'!$F:$F,"Sushi")</f>
        <v>0</v>
      </c>
      <c r="G21" s="20" t="str">
        <f aca="false">IF(F21&lt;=(0),"⚠ ABAIXO DO MÍNIMO","✓ NORMAL")</f>
        <v>⚠ ABAIXO DO MÍNIMO</v>
      </c>
    </row>
    <row r="22" customFormat="false" ht="15" hidden="false" customHeight="false" outlineLevel="0" collapsed="false">
      <c r="A22" s="8" t="s">
        <v>124</v>
      </c>
      <c r="B22" s="8" t="s">
        <v>209</v>
      </c>
      <c r="C22" s="11" t="str">
        <f aca="false">'Cadastro Produtos Brutos'!A4</f>
        <v>BR-003</v>
      </c>
      <c r="D22" s="11" t="str">
        <f aca="false">'Cadastro Produtos Brutos'!B4</f>
        <v>Alface Americana</v>
      </c>
      <c r="E22" s="11" t="str">
        <f aca="false">'Cadastro Produtos Brutos'!D4</f>
        <v>UN</v>
      </c>
      <c r="F22" s="16" t="n">
        <f aca="false">SUMIFS('Saída da Central'!$G:$G,'Saída da Central'!$C:$C,C22,'Saída da Central'!$F:$F,"Sushi")</f>
        <v>0</v>
      </c>
      <c r="G22" s="20" t="str">
        <f aca="false">IF(F22&lt;=(0),"⚠ ABAIXO DO MÍNIMO","✓ NORMAL")</f>
        <v>⚠ ABAIXO DO MÍNIMO</v>
      </c>
    </row>
    <row r="23" customFormat="false" ht="15" hidden="false" customHeight="false" outlineLevel="0" collapsed="false">
      <c r="A23" s="8" t="s">
        <v>124</v>
      </c>
      <c r="B23" s="8" t="s">
        <v>209</v>
      </c>
      <c r="C23" s="11" t="str">
        <f aca="false">'Cadastro Produtos Brutos'!A5</f>
        <v>BR-004</v>
      </c>
      <c r="D23" s="11" t="str">
        <f aca="false">'Cadastro Produtos Brutos'!B5</f>
        <v>Filé de Frango</v>
      </c>
      <c r="E23" s="11" t="str">
        <f aca="false">'Cadastro Produtos Brutos'!D5</f>
        <v>KG</v>
      </c>
      <c r="F23" s="16" t="n">
        <f aca="false">SUMIFS('Saída da Central'!$G:$G,'Saída da Central'!$C:$C,C23,'Saída da Central'!$F:$F,"Sushi")</f>
        <v>0</v>
      </c>
      <c r="G23" s="20" t="str">
        <f aca="false">IF(F23&lt;=(0),"⚠ ABAIXO DO MÍNIMO","✓ NORMAL")</f>
        <v>⚠ ABAIXO DO MÍNIMO</v>
      </c>
    </row>
    <row r="24" customFormat="false" ht="15" hidden="false" customHeight="false" outlineLevel="0" collapsed="false">
      <c r="A24" s="8" t="s">
        <v>124</v>
      </c>
      <c r="B24" s="8" t="s">
        <v>209</v>
      </c>
      <c r="C24" s="11" t="str">
        <f aca="false">'Cadastro Produtos Brutos'!A6</f>
        <v>BR-005</v>
      </c>
      <c r="D24" s="11" t="str">
        <f aca="false">'Cadastro Produtos Brutos'!B6</f>
        <v>Tomate</v>
      </c>
      <c r="E24" s="11" t="str">
        <f aca="false">'Cadastro Produtos Brutos'!D6</f>
        <v>KG</v>
      </c>
      <c r="F24" s="16" t="n">
        <f aca="false">SUMIFS('Saída da Central'!$G:$G,'Saída da Central'!$C:$C,C24,'Saída da Central'!$F:$F,"Sushi")</f>
        <v>0</v>
      </c>
      <c r="G24" s="20" t="str">
        <f aca="false">IF(F24&lt;=(0),"⚠ ABAIXO DO MÍNIMO","✓ NORMAL")</f>
        <v>⚠ ABAIXO DO MÍNIMO</v>
      </c>
    </row>
    <row r="25" customFormat="false" ht="15" hidden="false" customHeight="false" outlineLevel="0" collapsed="false">
      <c r="A25" s="8" t="s">
        <v>124</v>
      </c>
      <c r="B25" s="8" t="s">
        <v>209</v>
      </c>
      <c r="C25" s="11" t="str">
        <f aca="false">'Cadastro Produtos Brutos'!A7</f>
        <v>BR-006</v>
      </c>
      <c r="D25" s="11" t="str">
        <f aca="false">'Cadastro Produtos Brutos'!B7</f>
        <v>Queijo Muçarela</v>
      </c>
      <c r="E25" s="11" t="str">
        <f aca="false">'Cadastro Produtos Brutos'!D7</f>
        <v>KG</v>
      </c>
      <c r="F25" s="16" t="n">
        <f aca="false">SUMIFS('Saída da Central'!$G:$G,'Saída da Central'!$C:$C,C25,'Saída da Central'!$F:$F,"Sushi")</f>
        <v>0</v>
      </c>
      <c r="G25" s="20" t="str">
        <f aca="false">IF(F25&lt;=(0),"⚠ ABAIXO DO MÍNIMO","✓ NORMAL")</f>
        <v>⚠ ABAIXO DO MÍNIMO</v>
      </c>
    </row>
    <row r="26" customFormat="false" ht="15" hidden="false" customHeight="false" outlineLevel="0" collapsed="false">
      <c r="A26" s="8" t="s">
        <v>126</v>
      </c>
      <c r="B26" s="8" t="s">
        <v>209</v>
      </c>
      <c r="C26" s="11" t="str">
        <f aca="false">'Cadastro Produtos Brutos'!A2</f>
        <v>BR-001</v>
      </c>
      <c r="D26" s="11" t="str">
        <f aca="false">'Cadastro Produtos Brutos'!B2</f>
        <v>Salmão Fresco</v>
      </c>
      <c r="E26" s="11" t="str">
        <f aca="false">'Cadastro Produtos Brutos'!D2</f>
        <v>KG</v>
      </c>
      <c r="F26" s="16" t="n">
        <f aca="false">SUMIFS('Saída da Central'!$G:$G,'Saída da Central'!$C:$C,C26,'Saída da Central'!$F:$F,"Restaurante Arboreto")</f>
        <v>0</v>
      </c>
      <c r="G26" s="20" t="str">
        <f aca="false">IF(F26&lt;=(0),"⚠ ABAIXO DO MÍNIMO","✓ NORMAL")</f>
        <v>⚠ ABAIXO DO MÍNIMO</v>
      </c>
    </row>
    <row r="27" customFormat="false" ht="15" hidden="false" customHeight="false" outlineLevel="0" collapsed="false">
      <c r="A27" s="8" t="s">
        <v>126</v>
      </c>
      <c r="B27" s="8" t="s">
        <v>209</v>
      </c>
      <c r="C27" s="11" t="str">
        <f aca="false">'Cadastro Produtos Brutos'!A3</f>
        <v>BR-002</v>
      </c>
      <c r="D27" s="11" t="str">
        <f aca="false">'Cadastro Produtos Brutos'!B3</f>
        <v>Arroz Japonês</v>
      </c>
      <c r="E27" s="11" t="str">
        <f aca="false">'Cadastro Produtos Brutos'!D3</f>
        <v>KG</v>
      </c>
      <c r="F27" s="16" t="n">
        <f aca="false">SUMIFS('Saída da Central'!$G:$G,'Saída da Central'!$C:$C,C27,'Saída da Central'!$F:$F,"Restaurante Arboreto")</f>
        <v>0</v>
      </c>
      <c r="G27" s="20" t="str">
        <f aca="false">IF(F27&lt;=(0),"⚠ ABAIXO DO MÍNIMO","✓ NORMAL")</f>
        <v>⚠ ABAIXO DO MÍNIMO</v>
      </c>
    </row>
    <row r="28" customFormat="false" ht="15" hidden="false" customHeight="false" outlineLevel="0" collapsed="false">
      <c r="A28" s="8" t="s">
        <v>126</v>
      </c>
      <c r="B28" s="8" t="s">
        <v>209</v>
      </c>
      <c r="C28" s="11" t="str">
        <f aca="false">'Cadastro Produtos Brutos'!A4</f>
        <v>BR-003</v>
      </c>
      <c r="D28" s="11" t="str">
        <f aca="false">'Cadastro Produtos Brutos'!B4</f>
        <v>Alface Americana</v>
      </c>
      <c r="E28" s="11" t="str">
        <f aca="false">'Cadastro Produtos Brutos'!D4</f>
        <v>UN</v>
      </c>
      <c r="F28" s="16" t="n">
        <f aca="false">SUMIFS('Saída da Central'!$G:$G,'Saída da Central'!$C:$C,C28,'Saída da Central'!$F:$F,"Restaurante Arboreto")</f>
        <v>0</v>
      </c>
      <c r="G28" s="20" t="str">
        <f aca="false">IF(F28&lt;=(0),"⚠ ABAIXO DO MÍNIMO","✓ NORMAL")</f>
        <v>⚠ ABAIXO DO MÍNIMO</v>
      </c>
    </row>
    <row r="29" customFormat="false" ht="15" hidden="false" customHeight="false" outlineLevel="0" collapsed="false">
      <c r="A29" s="8" t="s">
        <v>126</v>
      </c>
      <c r="B29" s="8" t="s">
        <v>209</v>
      </c>
      <c r="C29" s="11" t="str">
        <f aca="false">'Cadastro Produtos Brutos'!A5</f>
        <v>BR-004</v>
      </c>
      <c r="D29" s="11" t="str">
        <f aca="false">'Cadastro Produtos Brutos'!B5</f>
        <v>Filé de Frango</v>
      </c>
      <c r="E29" s="11" t="str">
        <f aca="false">'Cadastro Produtos Brutos'!D5</f>
        <v>KG</v>
      </c>
      <c r="F29" s="16" t="n">
        <f aca="false">SUMIFS('Saída da Central'!$G:$G,'Saída da Central'!$C:$C,C29,'Saída da Central'!$F:$F,"Restaurante Arboreto")</f>
        <v>15</v>
      </c>
      <c r="G29" s="20" t="str">
        <f aca="false">IF(F29&lt;=(0),"⚠ ABAIXO DO MÍNIMO","✓ NORMAL")</f>
        <v>✓ NORMAL</v>
      </c>
    </row>
    <row r="30" customFormat="false" ht="15" hidden="false" customHeight="false" outlineLevel="0" collapsed="false">
      <c r="A30" s="8" t="s">
        <v>126</v>
      </c>
      <c r="B30" s="8" t="s">
        <v>209</v>
      </c>
      <c r="C30" s="11" t="str">
        <f aca="false">'Cadastro Produtos Brutos'!A6</f>
        <v>BR-005</v>
      </c>
      <c r="D30" s="11" t="str">
        <f aca="false">'Cadastro Produtos Brutos'!B6</f>
        <v>Tomate</v>
      </c>
      <c r="E30" s="11" t="str">
        <f aca="false">'Cadastro Produtos Brutos'!D6</f>
        <v>KG</v>
      </c>
      <c r="F30" s="16" t="n">
        <f aca="false">SUMIFS('Saída da Central'!$G:$G,'Saída da Central'!$C:$C,C30,'Saída da Central'!$F:$F,"Restaurante Arboreto")</f>
        <v>0</v>
      </c>
      <c r="G30" s="20" t="str">
        <f aca="false">IF(F30&lt;=(0),"⚠ ABAIXO DO MÍNIMO","✓ NORMAL")</f>
        <v>⚠ ABAIXO DO MÍNIMO</v>
      </c>
    </row>
    <row r="31" customFormat="false" ht="15" hidden="false" customHeight="false" outlineLevel="0" collapsed="false">
      <c r="A31" s="8" t="s">
        <v>126</v>
      </c>
      <c r="B31" s="8" t="s">
        <v>209</v>
      </c>
      <c r="C31" s="11" t="str">
        <f aca="false">'Cadastro Produtos Brutos'!A7</f>
        <v>BR-006</v>
      </c>
      <c r="D31" s="11" t="str">
        <f aca="false">'Cadastro Produtos Brutos'!B7</f>
        <v>Queijo Muçarela</v>
      </c>
      <c r="E31" s="11" t="str">
        <f aca="false">'Cadastro Produtos Brutos'!D7</f>
        <v>KG</v>
      </c>
      <c r="F31" s="16" t="n">
        <f aca="false">SUMIFS('Saída da Central'!$G:$G,'Saída da Central'!$C:$C,C31,'Saída da Central'!$F:$F,"Restaurante Arboreto")</f>
        <v>0</v>
      </c>
      <c r="G31" s="20" t="str">
        <f aca="false">IF(F31&lt;=(0),"⚠ ABAIXO DO MÍNIMO","✓ NORMAL")</f>
        <v>⚠ ABAIXO DO MÍNIMO</v>
      </c>
    </row>
    <row r="32" customFormat="false" ht="15" hidden="false" customHeight="false" outlineLevel="0" collapsed="false">
      <c r="A32" s="8" t="s">
        <v>128</v>
      </c>
      <c r="B32" s="8" t="s">
        <v>210</v>
      </c>
      <c r="C32" s="11" t="str">
        <f aca="false">'Cadastro Produtos Fracionados'!A2</f>
        <v>FR-001</v>
      </c>
      <c r="D32" s="11" t="str">
        <f aca="false">'Cadastro Produtos Fracionados'!B2</f>
        <v>Salmão Fatiado para Sushi</v>
      </c>
      <c r="E32" s="11" t="str">
        <f aca="false">'Cadastro Produtos Fracionados'!D2</f>
        <v>KG</v>
      </c>
      <c r="F32" s="16" t="n">
        <f aca="false">SUMIF('Entrada Estoque Fracionado'!$C:$C,C32,'Entrada Estoque Fracionado'!$E:$E)-SUMIF('Saída Estoque Fracionado'!$C:$C,C32,'Saída Estoque Fracionado'!$G:$G)</f>
        <v>7</v>
      </c>
      <c r="G32" s="20" t="str">
        <f aca="false">IF(F32&lt;=('Cadastro Produtos Fracionados'!H2),"⚠ ABAIXO DO MÍNIMO","✓ NORMAL")</f>
        <v>✓ NORMAL</v>
      </c>
    </row>
    <row r="33" customFormat="false" ht="15" hidden="false" customHeight="false" outlineLevel="0" collapsed="false">
      <c r="A33" s="8" t="s">
        <v>128</v>
      </c>
      <c r="B33" s="8" t="s">
        <v>210</v>
      </c>
      <c r="C33" s="11" t="str">
        <f aca="false">'Cadastro Produtos Fracionados'!A3</f>
        <v>FR-002</v>
      </c>
      <c r="D33" s="11" t="str">
        <f aca="false">'Cadastro Produtos Fracionados'!B3</f>
        <v>Arroz Temperado para Sushi</v>
      </c>
      <c r="E33" s="11" t="str">
        <f aca="false">'Cadastro Produtos Fracionados'!D3</f>
        <v>KG</v>
      </c>
      <c r="F33" s="16" t="n">
        <f aca="false">SUMIF('Entrada Estoque Fracionado'!$C:$C,C33,'Entrada Estoque Fracionado'!$E:$E)-SUMIF('Saída Estoque Fracionado'!$C:$C,C33,'Saída Estoque Fracionado'!$G:$G)</f>
        <v>10</v>
      </c>
      <c r="G33" s="20" t="str">
        <f aca="false">IF(F33&lt;=('Cadastro Produtos Fracionados'!H3),"⚠ ABAIXO DO MÍNIMO","✓ NORMAL")</f>
        <v>✓ NORMAL</v>
      </c>
    </row>
    <row r="34" customFormat="false" ht="15" hidden="false" customHeight="false" outlineLevel="0" collapsed="false">
      <c r="A34" s="8" t="s">
        <v>128</v>
      </c>
      <c r="B34" s="8" t="s">
        <v>210</v>
      </c>
      <c r="C34" s="11" t="str">
        <f aca="false">'Cadastro Produtos Fracionados'!A4</f>
        <v>FR-003</v>
      </c>
      <c r="D34" s="11" t="str">
        <f aca="false">'Cadastro Produtos Fracionados'!B4</f>
        <v>Alface Higienizada e Cortada</v>
      </c>
      <c r="E34" s="11" t="str">
        <f aca="false">'Cadastro Produtos Fracionados'!D4</f>
        <v>KG</v>
      </c>
      <c r="F34" s="16" t="n">
        <f aca="false">SUMIF('Entrada Estoque Fracionado'!$C:$C,C34,'Entrada Estoque Fracionado'!$E:$E)-SUMIF('Saída Estoque Fracionado'!$C:$C,C34,'Saída Estoque Fracionado'!$G:$G)</f>
        <v>3</v>
      </c>
      <c r="G34" s="20" t="str">
        <f aca="false">IF(F34&lt;=('Cadastro Produtos Fracionados'!H4),"⚠ ABAIXO DO MÍNIMO","✓ NORMAL")</f>
        <v>✓ NORMAL</v>
      </c>
    </row>
    <row r="35" customFormat="false" ht="15" hidden="false" customHeight="false" outlineLevel="0" collapsed="false">
      <c r="A35" s="8" t="s">
        <v>128</v>
      </c>
      <c r="B35" s="8" t="s">
        <v>210</v>
      </c>
      <c r="C35" s="11" t="str">
        <f aca="false">'Cadastro Produtos Fracionados'!A5</f>
        <v>FR-004</v>
      </c>
      <c r="D35" s="11" t="str">
        <f aca="false">'Cadastro Produtos Fracionados'!B5</f>
        <v>Frango Grelhado em Cubos</v>
      </c>
      <c r="E35" s="11" t="str">
        <f aca="false">'Cadastro Produtos Fracionados'!D5</f>
        <v>KG</v>
      </c>
      <c r="F35" s="16" t="n">
        <f aca="false">SUMIF('Entrada Estoque Fracionado'!$C:$C,C35,'Entrada Estoque Fracionado'!$E:$E)-SUMIF('Saída Estoque Fracionado'!$C:$C,C35,'Saída Estoque Fracionado'!$G:$G)</f>
        <v>0</v>
      </c>
      <c r="G35" s="20" t="str">
        <f aca="false">IF(F35&lt;=('Cadastro Produtos Fracionados'!H5),"⚠ ABAIXO DO MÍNIMO","✓ NORMAL")</f>
        <v>⚠ ABAIXO DO MÍNIMO</v>
      </c>
    </row>
    <row r="36" customFormat="false" ht="15" hidden="false" customHeight="false" outlineLevel="0" collapsed="false">
      <c r="A36" s="8" t="s">
        <v>128</v>
      </c>
      <c r="B36" s="8" t="s">
        <v>210</v>
      </c>
      <c r="C36" s="11" t="str">
        <f aca="false">'Cadastro Produtos Fracionados'!A6</f>
        <v>FR-005</v>
      </c>
      <c r="D36" s="11" t="str">
        <f aca="false">'Cadastro Produtos Fracionados'!B6</f>
        <v>Tomate Picado</v>
      </c>
      <c r="E36" s="11" t="str">
        <f aca="false">'Cadastro Produtos Fracionados'!D6</f>
        <v>KG</v>
      </c>
      <c r="F36" s="16" t="n">
        <f aca="false">SUMIF('Entrada Estoque Fracionado'!$C:$C,C36,'Entrada Estoque Fracionado'!$E:$E)-SUMIF('Saída Estoque Fracionado'!$C:$C,C36,'Saída Estoque Fracionado'!$G:$G)</f>
        <v>5</v>
      </c>
      <c r="G36" s="20" t="str">
        <f aca="false">IF(F36&lt;=('Cadastro Produtos Fracionados'!H6),"⚠ ABAIXO DO MÍNIMO","✓ NORMAL")</f>
        <v>✓ NORMAL</v>
      </c>
    </row>
    <row r="37" customFormat="false" ht="15" hidden="false" customHeight="false" outlineLevel="0" collapsed="false">
      <c r="A37" s="8" t="s">
        <v>121</v>
      </c>
      <c r="B37" s="8" t="s">
        <v>210</v>
      </c>
      <c r="C37" s="11" t="str">
        <f aca="false">'Cadastro Produtos Fracionados'!A2</f>
        <v>FR-001</v>
      </c>
      <c r="D37" s="11" t="str">
        <f aca="false">'Cadastro Produtos Fracionados'!B2</f>
        <v>Salmão Fatiado para Sushi</v>
      </c>
      <c r="E37" s="11" t="str">
        <f aca="false">'Cadastro Produtos Fracionados'!D2</f>
        <v>KG</v>
      </c>
      <c r="F37" s="16" t="n">
        <f aca="false">SUMIFS('Saída Estoque Fracionado'!$G:$G,'Saída Estoque Fracionado'!$C:$C,C37,'Saída Estoque Fracionado'!$F:$F,"Buffet Fran Casaria")</f>
        <v>0</v>
      </c>
      <c r="G37" s="20" t="str">
        <f aca="false">IF(F37&lt;=(0),"⚠ ABAIXO DO MÍNIMO","✓ NORMAL")</f>
        <v>⚠ ABAIXO DO MÍNIMO</v>
      </c>
    </row>
    <row r="38" customFormat="false" ht="15" hidden="false" customHeight="false" outlineLevel="0" collapsed="false">
      <c r="A38" s="8" t="s">
        <v>121</v>
      </c>
      <c r="B38" s="8" t="s">
        <v>210</v>
      </c>
      <c r="C38" s="11" t="str">
        <f aca="false">'Cadastro Produtos Fracionados'!A3</f>
        <v>FR-002</v>
      </c>
      <c r="D38" s="11" t="str">
        <f aca="false">'Cadastro Produtos Fracionados'!B3</f>
        <v>Arroz Temperado para Sushi</v>
      </c>
      <c r="E38" s="11" t="str">
        <f aca="false">'Cadastro Produtos Fracionados'!D3</f>
        <v>KG</v>
      </c>
      <c r="F38" s="16" t="n">
        <f aca="false">SUMIFS('Saída Estoque Fracionado'!$G:$G,'Saída Estoque Fracionado'!$C:$C,C38,'Saída Estoque Fracionado'!$F:$F,"Buffet Fran Casaria")</f>
        <v>0</v>
      </c>
      <c r="G38" s="20" t="str">
        <f aca="false">IF(F38&lt;=(0),"⚠ ABAIXO DO MÍNIMO","✓ NORMAL")</f>
        <v>⚠ ABAIXO DO MÍNIMO</v>
      </c>
    </row>
    <row r="39" customFormat="false" ht="15" hidden="false" customHeight="false" outlineLevel="0" collapsed="false">
      <c r="A39" s="8" t="s">
        <v>121</v>
      </c>
      <c r="B39" s="8" t="s">
        <v>210</v>
      </c>
      <c r="C39" s="11" t="str">
        <f aca="false">'Cadastro Produtos Fracionados'!A4</f>
        <v>FR-003</v>
      </c>
      <c r="D39" s="11" t="str">
        <f aca="false">'Cadastro Produtos Fracionados'!B4</f>
        <v>Alface Higienizada e Cortada</v>
      </c>
      <c r="E39" s="11" t="str">
        <f aca="false">'Cadastro Produtos Fracionados'!D4</f>
        <v>KG</v>
      </c>
      <c r="F39" s="16" t="n">
        <f aca="false">SUMIFS('Saída Estoque Fracionado'!$G:$G,'Saída Estoque Fracionado'!$C:$C,C39,'Saída Estoque Fracionado'!$F:$F,"Buffet Fran Casaria")</f>
        <v>5</v>
      </c>
      <c r="G39" s="20" t="str">
        <f aca="false">IF(F39&lt;=(0),"⚠ ABAIXO DO MÍNIMO","✓ NORMAL")</f>
        <v>✓ NORMAL</v>
      </c>
    </row>
    <row r="40" customFormat="false" ht="15" hidden="false" customHeight="false" outlineLevel="0" collapsed="false">
      <c r="A40" s="8" t="s">
        <v>121</v>
      </c>
      <c r="B40" s="8" t="s">
        <v>210</v>
      </c>
      <c r="C40" s="11" t="str">
        <f aca="false">'Cadastro Produtos Fracionados'!A5</f>
        <v>FR-004</v>
      </c>
      <c r="D40" s="11" t="str">
        <f aca="false">'Cadastro Produtos Fracionados'!B5</f>
        <v>Frango Grelhado em Cubos</v>
      </c>
      <c r="E40" s="11" t="str">
        <f aca="false">'Cadastro Produtos Fracionados'!D5</f>
        <v>KG</v>
      </c>
      <c r="F40" s="16" t="n">
        <f aca="false">SUMIFS('Saída Estoque Fracionado'!$G:$G,'Saída Estoque Fracionado'!$C:$C,C40,'Saída Estoque Fracionado'!$F:$F,"Buffet Fran Casaria")</f>
        <v>0</v>
      </c>
      <c r="G40" s="20" t="str">
        <f aca="false">IF(F40&lt;=(0),"⚠ ABAIXO DO MÍNIMO","✓ NORMAL")</f>
        <v>⚠ ABAIXO DO MÍNIMO</v>
      </c>
    </row>
    <row r="41" customFormat="false" ht="15" hidden="false" customHeight="false" outlineLevel="0" collapsed="false">
      <c r="A41" s="8" t="s">
        <v>121</v>
      </c>
      <c r="B41" s="8" t="s">
        <v>210</v>
      </c>
      <c r="C41" s="11" t="str">
        <f aca="false">'Cadastro Produtos Fracionados'!A6</f>
        <v>FR-005</v>
      </c>
      <c r="D41" s="11" t="str">
        <f aca="false">'Cadastro Produtos Fracionados'!B6</f>
        <v>Tomate Picado</v>
      </c>
      <c r="E41" s="11" t="str">
        <f aca="false">'Cadastro Produtos Fracionados'!D6</f>
        <v>KG</v>
      </c>
      <c r="F41" s="16" t="n">
        <f aca="false">SUMIFS('Saída Estoque Fracionado'!$G:$G,'Saída Estoque Fracionado'!$C:$C,C41,'Saída Estoque Fracionado'!$F:$F,"Buffet Fran Casaria")</f>
        <v>0</v>
      </c>
      <c r="G41" s="20" t="str">
        <f aca="false">IF(F41&lt;=(0),"⚠ ABAIXO DO MÍNIMO","✓ NORMAL")</f>
        <v>⚠ ABAIXO DO MÍNIMO</v>
      </c>
    </row>
    <row r="42" customFormat="false" ht="15" hidden="false" customHeight="false" outlineLevel="0" collapsed="false">
      <c r="A42" s="8" t="s">
        <v>124</v>
      </c>
      <c r="B42" s="8" t="s">
        <v>210</v>
      </c>
      <c r="C42" s="11" t="str">
        <f aca="false">'Cadastro Produtos Fracionados'!A2</f>
        <v>FR-001</v>
      </c>
      <c r="D42" s="11" t="str">
        <f aca="false">'Cadastro Produtos Fracionados'!B2</f>
        <v>Salmão Fatiado para Sushi</v>
      </c>
      <c r="E42" s="11" t="str">
        <f aca="false">'Cadastro Produtos Fracionados'!D2</f>
        <v>KG</v>
      </c>
      <c r="F42" s="16" t="n">
        <f aca="false">SUMIFS('Saída Estoque Fracionado'!$G:$G,'Saída Estoque Fracionado'!$C:$C,C42,'Saída Estoque Fracionado'!$F:$F,"Sushi")</f>
        <v>10</v>
      </c>
      <c r="G42" s="20" t="str">
        <f aca="false">IF(F42&lt;=(0),"⚠ ABAIXO DO MÍNIMO","✓ NORMAL")</f>
        <v>✓ NORMAL</v>
      </c>
    </row>
    <row r="43" customFormat="false" ht="15" hidden="false" customHeight="false" outlineLevel="0" collapsed="false">
      <c r="A43" s="8" t="s">
        <v>124</v>
      </c>
      <c r="B43" s="8" t="s">
        <v>210</v>
      </c>
      <c r="C43" s="11" t="str">
        <f aca="false">'Cadastro Produtos Fracionados'!A3</f>
        <v>FR-002</v>
      </c>
      <c r="D43" s="11" t="str">
        <f aca="false">'Cadastro Produtos Fracionados'!B3</f>
        <v>Arroz Temperado para Sushi</v>
      </c>
      <c r="E43" s="11" t="str">
        <f aca="false">'Cadastro Produtos Fracionados'!D3</f>
        <v>KG</v>
      </c>
      <c r="F43" s="16" t="n">
        <f aca="false">SUMIFS('Saída Estoque Fracionado'!$G:$G,'Saída Estoque Fracionado'!$C:$C,C43,'Saída Estoque Fracionado'!$F:$F,"Sushi")</f>
        <v>12</v>
      </c>
      <c r="G43" s="20" t="str">
        <f aca="false">IF(F43&lt;=(0),"⚠ ABAIXO DO MÍNIMO","✓ NORMAL")</f>
        <v>✓ NORMAL</v>
      </c>
    </row>
    <row r="44" customFormat="false" ht="15" hidden="false" customHeight="false" outlineLevel="0" collapsed="false">
      <c r="A44" s="8" t="s">
        <v>124</v>
      </c>
      <c r="B44" s="8" t="s">
        <v>210</v>
      </c>
      <c r="C44" s="11" t="str">
        <f aca="false">'Cadastro Produtos Fracionados'!A4</f>
        <v>FR-003</v>
      </c>
      <c r="D44" s="11" t="str">
        <f aca="false">'Cadastro Produtos Fracionados'!B4</f>
        <v>Alface Higienizada e Cortada</v>
      </c>
      <c r="E44" s="11" t="str">
        <f aca="false">'Cadastro Produtos Fracionados'!D4</f>
        <v>KG</v>
      </c>
      <c r="F44" s="16" t="n">
        <f aca="false">SUMIFS('Saída Estoque Fracionado'!$G:$G,'Saída Estoque Fracionado'!$C:$C,C44,'Saída Estoque Fracionado'!$F:$F,"Sushi")</f>
        <v>0</v>
      </c>
      <c r="G44" s="20" t="str">
        <f aca="false">IF(F44&lt;=(0),"⚠ ABAIXO DO MÍNIMO","✓ NORMAL")</f>
        <v>⚠ ABAIXO DO MÍNIMO</v>
      </c>
    </row>
    <row r="45" customFormat="false" ht="15" hidden="false" customHeight="false" outlineLevel="0" collapsed="false">
      <c r="A45" s="8" t="s">
        <v>124</v>
      </c>
      <c r="B45" s="8" t="s">
        <v>210</v>
      </c>
      <c r="C45" s="11" t="str">
        <f aca="false">'Cadastro Produtos Fracionados'!A5</f>
        <v>FR-004</v>
      </c>
      <c r="D45" s="11" t="str">
        <f aca="false">'Cadastro Produtos Fracionados'!B5</f>
        <v>Frango Grelhado em Cubos</v>
      </c>
      <c r="E45" s="11" t="str">
        <f aca="false">'Cadastro Produtos Fracionados'!D5</f>
        <v>KG</v>
      </c>
      <c r="F45" s="16" t="n">
        <f aca="false">SUMIFS('Saída Estoque Fracionado'!$G:$G,'Saída Estoque Fracionado'!$C:$C,C45,'Saída Estoque Fracionado'!$F:$F,"Sushi")</f>
        <v>0</v>
      </c>
      <c r="G45" s="20" t="str">
        <f aca="false">IF(F45&lt;=(0),"⚠ ABAIXO DO MÍNIMO","✓ NORMAL")</f>
        <v>⚠ ABAIXO DO MÍNIMO</v>
      </c>
    </row>
    <row r="46" customFormat="false" ht="15" hidden="false" customHeight="false" outlineLevel="0" collapsed="false">
      <c r="A46" s="8" t="s">
        <v>124</v>
      </c>
      <c r="B46" s="8" t="s">
        <v>210</v>
      </c>
      <c r="C46" s="11" t="str">
        <f aca="false">'Cadastro Produtos Fracionados'!A6</f>
        <v>FR-005</v>
      </c>
      <c r="D46" s="11" t="str">
        <f aca="false">'Cadastro Produtos Fracionados'!B6</f>
        <v>Tomate Picado</v>
      </c>
      <c r="E46" s="11" t="str">
        <f aca="false">'Cadastro Produtos Fracionados'!D6</f>
        <v>KG</v>
      </c>
      <c r="F46" s="16" t="n">
        <f aca="false">SUMIFS('Saída Estoque Fracionado'!$G:$G,'Saída Estoque Fracionado'!$C:$C,C46,'Saída Estoque Fracionado'!$F:$F,"Sushi")</f>
        <v>0</v>
      </c>
      <c r="G46" s="20" t="str">
        <f aca="false">IF(F46&lt;=(0),"⚠ ABAIXO DO MÍNIMO","✓ NORMAL")</f>
        <v>⚠ ABAIXO DO MÍNIMO</v>
      </c>
    </row>
    <row r="47" customFormat="false" ht="15" hidden="false" customHeight="false" outlineLevel="0" collapsed="false">
      <c r="A47" s="8" t="s">
        <v>126</v>
      </c>
      <c r="B47" s="8" t="s">
        <v>210</v>
      </c>
      <c r="C47" s="11" t="str">
        <f aca="false">'Cadastro Produtos Fracionados'!A2</f>
        <v>FR-001</v>
      </c>
      <c r="D47" s="11" t="str">
        <f aca="false">'Cadastro Produtos Fracionados'!B2</f>
        <v>Salmão Fatiado para Sushi</v>
      </c>
      <c r="E47" s="11" t="str">
        <f aca="false">'Cadastro Produtos Fracionados'!D2</f>
        <v>KG</v>
      </c>
      <c r="F47" s="16" t="n">
        <f aca="false">SUMIFS('Saída Estoque Fracionado'!$G:$G,'Saída Estoque Fracionado'!$C:$C,C47,'Saída Estoque Fracionado'!$F:$F,"Restaurante Arboreto")</f>
        <v>0</v>
      </c>
      <c r="G47" s="20" t="str">
        <f aca="false">IF(F47&lt;=(0),"⚠ ABAIXO DO MÍNIMO","✓ NORMAL")</f>
        <v>⚠ ABAIXO DO MÍNIMO</v>
      </c>
    </row>
    <row r="48" customFormat="false" ht="15" hidden="false" customHeight="false" outlineLevel="0" collapsed="false">
      <c r="A48" s="8" t="s">
        <v>126</v>
      </c>
      <c r="B48" s="8" t="s">
        <v>210</v>
      </c>
      <c r="C48" s="11" t="str">
        <f aca="false">'Cadastro Produtos Fracionados'!A3</f>
        <v>FR-002</v>
      </c>
      <c r="D48" s="11" t="str">
        <f aca="false">'Cadastro Produtos Fracionados'!B3</f>
        <v>Arroz Temperado para Sushi</v>
      </c>
      <c r="E48" s="11" t="str">
        <f aca="false">'Cadastro Produtos Fracionados'!D3</f>
        <v>KG</v>
      </c>
      <c r="F48" s="16" t="n">
        <f aca="false">SUMIFS('Saída Estoque Fracionado'!$G:$G,'Saída Estoque Fracionado'!$C:$C,C48,'Saída Estoque Fracionado'!$F:$F,"Restaurante Arboreto")</f>
        <v>0</v>
      </c>
      <c r="G48" s="20" t="str">
        <f aca="false">IF(F48&lt;=(0),"⚠ ABAIXO DO MÍNIMO","✓ NORMAL")</f>
        <v>⚠ ABAIXO DO MÍNIMO</v>
      </c>
    </row>
    <row r="49" customFormat="false" ht="15" hidden="false" customHeight="false" outlineLevel="0" collapsed="false">
      <c r="A49" s="8" t="s">
        <v>126</v>
      </c>
      <c r="B49" s="8" t="s">
        <v>210</v>
      </c>
      <c r="C49" s="11" t="str">
        <f aca="false">'Cadastro Produtos Fracionados'!A4</f>
        <v>FR-003</v>
      </c>
      <c r="D49" s="11" t="str">
        <f aca="false">'Cadastro Produtos Fracionados'!B4</f>
        <v>Alface Higienizada e Cortada</v>
      </c>
      <c r="E49" s="11" t="str">
        <f aca="false">'Cadastro Produtos Fracionados'!D4</f>
        <v>KG</v>
      </c>
      <c r="F49" s="16" t="n">
        <f aca="false">SUMIFS('Saída Estoque Fracionado'!$G:$G,'Saída Estoque Fracionado'!$C:$C,C49,'Saída Estoque Fracionado'!$F:$F,"Restaurante Arboreto")</f>
        <v>0</v>
      </c>
      <c r="G49" s="20" t="str">
        <f aca="false">IF(F49&lt;=(0),"⚠ ABAIXO DO MÍNIMO","✓ NORMAL")</f>
        <v>⚠ ABAIXO DO MÍNIMO</v>
      </c>
    </row>
    <row r="50" customFormat="false" ht="15" hidden="false" customHeight="false" outlineLevel="0" collapsed="false">
      <c r="A50" s="8" t="s">
        <v>126</v>
      </c>
      <c r="B50" s="8" t="s">
        <v>210</v>
      </c>
      <c r="C50" s="11" t="str">
        <f aca="false">'Cadastro Produtos Fracionados'!A5</f>
        <v>FR-004</v>
      </c>
      <c r="D50" s="11" t="str">
        <f aca="false">'Cadastro Produtos Fracionados'!B5</f>
        <v>Frango Grelhado em Cubos</v>
      </c>
      <c r="E50" s="11" t="str">
        <f aca="false">'Cadastro Produtos Fracionados'!D5</f>
        <v>KG</v>
      </c>
      <c r="F50" s="16" t="n">
        <f aca="false">SUMIFS('Saída Estoque Fracionado'!$G:$G,'Saída Estoque Fracionado'!$C:$C,C50,'Saída Estoque Fracionado'!$F:$F,"Restaurante Arboreto")</f>
        <v>0</v>
      </c>
      <c r="G50" s="20" t="str">
        <f aca="false">IF(F50&lt;=(0),"⚠ ABAIXO DO MÍNIMO","✓ NORMAL")</f>
        <v>⚠ ABAIXO DO MÍNIMO</v>
      </c>
    </row>
    <row r="51" customFormat="false" ht="15" hidden="false" customHeight="false" outlineLevel="0" collapsed="false">
      <c r="A51" s="8" t="s">
        <v>126</v>
      </c>
      <c r="B51" s="8" t="s">
        <v>210</v>
      </c>
      <c r="C51" s="11" t="str">
        <f aca="false">'Cadastro Produtos Fracionados'!A6</f>
        <v>FR-005</v>
      </c>
      <c r="D51" s="11" t="str">
        <f aca="false">'Cadastro Produtos Fracionados'!B6</f>
        <v>Tomate Picado</v>
      </c>
      <c r="E51" s="11" t="str">
        <f aca="false">'Cadastro Produtos Fracionados'!D6</f>
        <v>KG</v>
      </c>
      <c r="F51" s="16" t="n">
        <f aca="false">SUMIFS('Saída Estoque Fracionado'!$G:$G,'Saída Estoque Fracionado'!$C:$C,C51,'Saída Estoque Fracionado'!$F:$F,"Restaurante Arboreto")</f>
        <v>6</v>
      </c>
      <c r="G51" s="20" t="str">
        <f aca="false">IF(F51&lt;=(0),"⚠ ABAIXO DO MÍNIMO","✓ NORMAL")</f>
        <v>✓ NORMAL</v>
      </c>
    </row>
  </sheetData>
  <conditionalFormatting sqref="G2:G51">
    <cfRule type="expression" priority="2" aboveAverage="0" equalAverage="0" bottom="0" percent="0" rank="0" text="" dxfId="0">
      <formula>LEFT(G2,1)="⚠"</formula>
    </cfRule>
    <cfRule type="expression" priority="3" aboveAverage="0" equalAverage="0" bottom="0" percent="0" rank="0" text="" dxfId="1">
      <formula>LEFT(G2,1)="✓"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9" t="s">
        <v>211</v>
      </c>
      <c r="B1" s="19"/>
      <c r="C1" s="19"/>
      <c r="D1" s="19"/>
      <c r="E1" s="19"/>
      <c r="F1" s="19"/>
      <c r="G1" s="19"/>
      <c r="H1" s="19"/>
    </row>
    <row r="2" customFormat="false" ht="30" hidden="false" customHeight="true" outlineLevel="0" collapsed="false">
      <c r="A2" s="4" t="s">
        <v>199</v>
      </c>
      <c r="B2" s="4" t="s">
        <v>55</v>
      </c>
      <c r="C2" s="4" t="s">
        <v>212</v>
      </c>
      <c r="D2" s="4" t="s">
        <v>133</v>
      </c>
      <c r="E2" s="4" t="s">
        <v>202</v>
      </c>
      <c r="F2" s="4" t="s">
        <v>58</v>
      </c>
      <c r="G2" s="4" t="s">
        <v>213</v>
      </c>
      <c r="H2" s="4" t="s">
        <v>203</v>
      </c>
    </row>
    <row r="3" customFormat="false" ht="15" hidden="false" customHeight="false" outlineLevel="0" collapsed="false">
      <c r="A3" s="11" t="str">
        <f aca="false">'Estoque Atual por Produto'!A3</f>
        <v>BR-001</v>
      </c>
      <c r="B3" s="11" t="str">
        <f aca="false">'Estoque Atual por Produto'!B3</f>
        <v>Salmão Fresco</v>
      </c>
      <c r="C3" s="8" t="s">
        <v>209</v>
      </c>
      <c r="D3" s="11" t="str">
        <f aca="false">'Estoque Atual por Produto'!C3</f>
        <v>KG</v>
      </c>
      <c r="E3" s="21" t="n">
        <f aca="false">'Estoque Atual por Produto'!F3</f>
        <v>15</v>
      </c>
      <c r="F3" s="21" t="n">
        <f aca="false">'Estoque Atual por Produto'!G3</f>
        <v>5</v>
      </c>
      <c r="G3" s="16" t="n">
        <f aca="false">E3-F3</f>
        <v>10</v>
      </c>
      <c r="H3" s="20" t="str">
        <f aca="false">IF(E3&lt;=F3,"⚠ ABAIXO DO MÍNIMO","✓ NORMAL")</f>
        <v>✓ NORMAL</v>
      </c>
    </row>
    <row r="4" customFormat="false" ht="15" hidden="false" customHeight="false" outlineLevel="0" collapsed="false">
      <c r="A4" s="11" t="str">
        <f aca="false">'Estoque Atual por Produto'!A4</f>
        <v>BR-002</v>
      </c>
      <c r="B4" s="11" t="str">
        <f aca="false">'Estoque Atual por Produto'!B4</f>
        <v>Arroz Japonês</v>
      </c>
      <c r="C4" s="8" t="s">
        <v>209</v>
      </c>
      <c r="D4" s="11" t="str">
        <f aca="false">'Estoque Atual por Produto'!C4</f>
        <v>KG</v>
      </c>
      <c r="E4" s="21" t="n">
        <f aca="false">'Estoque Atual por Produto'!F4</f>
        <v>10</v>
      </c>
      <c r="F4" s="21" t="n">
        <f aca="false">'Estoque Atual por Produto'!G4</f>
        <v>10</v>
      </c>
      <c r="G4" s="16" t="n">
        <f aca="false">E4-F4</f>
        <v>0</v>
      </c>
      <c r="H4" s="20" t="str">
        <f aca="false">IF(E4&lt;=F4,"⚠ ABAIXO DO MÍNIMO","✓ NORMAL")</f>
        <v>⚠ ABAIXO DO MÍNIMO</v>
      </c>
    </row>
    <row r="5" customFormat="false" ht="15" hidden="false" customHeight="false" outlineLevel="0" collapsed="false">
      <c r="A5" s="11" t="str">
        <f aca="false">'Estoque Atual por Produto'!A5</f>
        <v>BR-003</v>
      </c>
      <c r="B5" s="11" t="str">
        <f aca="false">'Estoque Atual por Produto'!B5</f>
        <v>Alface Americana</v>
      </c>
      <c r="C5" s="8" t="s">
        <v>209</v>
      </c>
      <c r="D5" s="11" t="str">
        <f aca="false">'Estoque Atual por Produto'!C5</f>
        <v>UN</v>
      </c>
      <c r="E5" s="21" t="n">
        <f aca="false">'Estoque Atual por Produto'!F5</f>
        <v>5</v>
      </c>
      <c r="F5" s="21" t="n">
        <f aca="false">'Estoque Atual por Produto'!G5</f>
        <v>5</v>
      </c>
      <c r="G5" s="16" t="n">
        <f aca="false">E5-F5</f>
        <v>0</v>
      </c>
      <c r="H5" s="20" t="str">
        <f aca="false">IF(E5&lt;=F5,"⚠ ABAIXO DO MÍNIMO","✓ NORMAL")</f>
        <v>⚠ ABAIXO DO MÍNIMO</v>
      </c>
    </row>
    <row r="6" customFormat="false" ht="15" hidden="false" customHeight="false" outlineLevel="0" collapsed="false">
      <c r="A6" s="11" t="str">
        <f aca="false">'Estoque Atual por Produto'!A6</f>
        <v>BR-004</v>
      </c>
      <c r="B6" s="11" t="str">
        <f aca="false">'Estoque Atual por Produto'!B6</f>
        <v>Filé de Frango</v>
      </c>
      <c r="C6" s="8" t="s">
        <v>209</v>
      </c>
      <c r="D6" s="11" t="str">
        <f aca="false">'Estoque Atual por Produto'!C6</f>
        <v>KG</v>
      </c>
      <c r="E6" s="21" t="n">
        <f aca="false">'Estoque Atual por Produto'!F6</f>
        <v>5</v>
      </c>
      <c r="F6" s="21" t="n">
        <f aca="false">'Estoque Atual por Produto'!G6</f>
        <v>8</v>
      </c>
      <c r="G6" s="16" t="n">
        <f aca="false">E6-F6</f>
        <v>-3</v>
      </c>
      <c r="H6" s="20" t="str">
        <f aca="false">IF(E6&lt;=F6,"⚠ ABAIXO DO MÍNIMO","✓ NORMAL")</f>
        <v>⚠ ABAIXO DO MÍNIMO</v>
      </c>
    </row>
    <row r="7" customFormat="false" ht="15" hidden="false" customHeight="false" outlineLevel="0" collapsed="false">
      <c r="A7" s="11" t="str">
        <f aca="false">'Estoque Atual por Produto'!A7</f>
        <v>BR-005</v>
      </c>
      <c r="B7" s="11" t="str">
        <f aca="false">'Estoque Atual por Produto'!B7</f>
        <v>Tomate</v>
      </c>
      <c r="C7" s="8" t="s">
        <v>209</v>
      </c>
      <c r="D7" s="11" t="str">
        <f aca="false">'Estoque Atual por Produto'!C7</f>
        <v>KG</v>
      </c>
      <c r="E7" s="21" t="n">
        <f aca="false">'Estoque Atual por Produto'!F7</f>
        <v>8</v>
      </c>
      <c r="F7" s="21" t="n">
        <f aca="false">'Estoque Atual por Produto'!G7</f>
        <v>5</v>
      </c>
      <c r="G7" s="16" t="n">
        <f aca="false">E7-F7</f>
        <v>3</v>
      </c>
      <c r="H7" s="20" t="str">
        <f aca="false">IF(E7&lt;=F7,"⚠ ABAIXO DO MÍNIMO","✓ NORMAL")</f>
        <v>✓ NORMAL</v>
      </c>
    </row>
    <row r="8" customFormat="false" ht="15" hidden="false" customHeight="false" outlineLevel="0" collapsed="false">
      <c r="A8" s="11" t="str">
        <f aca="false">'Estoque Atual por Produto'!A8</f>
        <v>BR-006</v>
      </c>
      <c r="B8" s="11" t="str">
        <f aca="false">'Estoque Atual por Produto'!B8</f>
        <v>Queijo Muçarela</v>
      </c>
      <c r="C8" s="8" t="s">
        <v>209</v>
      </c>
      <c r="D8" s="11" t="str">
        <f aca="false">'Estoque Atual por Produto'!C8</f>
        <v>KG</v>
      </c>
      <c r="E8" s="21" t="n">
        <f aca="false">'Estoque Atual por Produto'!F8</f>
        <v>0</v>
      </c>
      <c r="F8" s="21" t="n">
        <f aca="false">'Estoque Atual por Produto'!G8</f>
        <v>5</v>
      </c>
      <c r="G8" s="16" t="n">
        <f aca="false">E8-F8</f>
        <v>-5</v>
      </c>
      <c r="H8" s="20" t="str">
        <f aca="false">IF(E8&lt;=F8,"⚠ ABAIXO DO MÍNIMO","✓ NORMAL")</f>
        <v>⚠ ABAIXO DO MÍNIMO</v>
      </c>
    </row>
    <row r="9" customFormat="false" ht="15" hidden="false" customHeight="false" outlineLevel="0" collapsed="false">
      <c r="A9" s="11" t="str">
        <f aca="false">'Estoque Atual por Produto'!A12</f>
        <v>FR-001</v>
      </c>
      <c r="B9" s="11" t="str">
        <f aca="false">'Estoque Atual por Produto'!B12</f>
        <v>Salmão Fatiado para Sushi</v>
      </c>
      <c r="C9" s="8" t="s">
        <v>210</v>
      </c>
      <c r="D9" s="11" t="str">
        <f aca="false">'Estoque Atual por Produto'!C12</f>
        <v>KG</v>
      </c>
      <c r="E9" s="21" t="n">
        <f aca="false">'Estoque Atual por Produto'!F12</f>
        <v>7</v>
      </c>
      <c r="F9" s="21" t="n">
        <f aca="false">'Estoque Atual por Produto'!G12</f>
        <v>2</v>
      </c>
      <c r="G9" s="16" t="n">
        <f aca="false">E9-F9</f>
        <v>5</v>
      </c>
      <c r="H9" s="20" t="str">
        <f aca="false">IF(E9&lt;=F9,"⚠ ABAIXO DO MÍNIMO","✓ NORMAL")</f>
        <v>✓ NORMAL</v>
      </c>
    </row>
    <row r="10" customFormat="false" ht="15" hidden="false" customHeight="false" outlineLevel="0" collapsed="false">
      <c r="A10" s="11" t="str">
        <f aca="false">'Estoque Atual por Produto'!A13</f>
        <v>FR-002</v>
      </c>
      <c r="B10" s="11" t="str">
        <f aca="false">'Estoque Atual por Produto'!B13</f>
        <v>Arroz Temperado para Sushi</v>
      </c>
      <c r="C10" s="8" t="s">
        <v>210</v>
      </c>
      <c r="D10" s="11" t="str">
        <f aca="false">'Estoque Atual por Produto'!C13</f>
        <v>KG</v>
      </c>
      <c r="E10" s="21" t="n">
        <f aca="false">'Estoque Atual por Produto'!F13</f>
        <v>10</v>
      </c>
      <c r="F10" s="21" t="n">
        <f aca="false">'Estoque Atual por Produto'!G13</f>
        <v>3</v>
      </c>
      <c r="G10" s="16" t="n">
        <f aca="false">E10-F10</f>
        <v>7</v>
      </c>
      <c r="H10" s="20" t="str">
        <f aca="false">IF(E10&lt;=F10,"⚠ ABAIXO DO MÍNIMO","✓ NORMAL")</f>
        <v>✓ NORMAL</v>
      </c>
    </row>
    <row r="11" customFormat="false" ht="15" hidden="false" customHeight="false" outlineLevel="0" collapsed="false">
      <c r="A11" s="11" t="str">
        <f aca="false">'Estoque Atual por Produto'!A14</f>
        <v>FR-003</v>
      </c>
      <c r="B11" s="11" t="str">
        <f aca="false">'Estoque Atual por Produto'!B14</f>
        <v>Alface Higienizada e Cortada</v>
      </c>
      <c r="C11" s="8" t="s">
        <v>210</v>
      </c>
      <c r="D11" s="11" t="str">
        <f aca="false">'Estoque Atual por Produto'!C14</f>
        <v>KG</v>
      </c>
      <c r="E11" s="21" t="n">
        <f aca="false">'Estoque Atual por Produto'!F14</f>
        <v>3</v>
      </c>
      <c r="F11" s="21" t="n">
        <f aca="false">'Estoque Atual por Produto'!G14</f>
        <v>2</v>
      </c>
      <c r="G11" s="16" t="n">
        <f aca="false">E11-F11</f>
        <v>1</v>
      </c>
      <c r="H11" s="20" t="str">
        <f aca="false">IF(E11&lt;=F11,"⚠ ABAIXO DO MÍNIMO","✓ NORMAL")</f>
        <v>✓ NORMAL</v>
      </c>
    </row>
    <row r="12" customFormat="false" ht="15" hidden="false" customHeight="false" outlineLevel="0" collapsed="false">
      <c r="A12" s="11" t="str">
        <f aca="false">'Estoque Atual por Produto'!A15</f>
        <v>FR-004</v>
      </c>
      <c r="B12" s="11" t="str">
        <f aca="false">'Estoque Atual por Produto'!B15</f>
        <v>Frango Grelhado em Cubos</v>
      </c>
      <c r="C12" s="8" t="s">
        <v>210</v>
      </c>
      <c r="D12" s="11" t="str">
        <f aca="false">'Estoque Atual por Produto'!C15</f>
        <v>KG</v>
      </c>
      <c r="E12" s="21" t="n">
        <f aca="false">'Estoque Atual por Produto'!F15</f>
        <v>0</v>
      </c>
      <c r="F12" s="21" t="n">
        <f aca="false">'Estoque Atual por Produto'!G15</f>
        <v>2</v>
      </c>
      <c r="G12" s="16" t="n">
        <f aca="false">E12-F12</f>
        <v>-2</v>
      </c>
      <c r="H12" s="20" t="str">
        <f aca="false">IF(E12&lt;=F12,"⚠ ABAIXO DO MÍNIMO","✓ NORMAL")</f>
        <v>⚠ ABAIXO DO MÍNIMO</v>
      </c>
    </row>
    <row r="13" customFormat="false" ht="15" hidden="false" customHeight="false" outlineLevel="0" collapsed="false">
      <c r="A13" s="11" t="str">
        <f aca="false">'Estoque Atual por Produto'!A16</f>
        <v>FR-005</v>
      </c>
      <c r="B13" s="11" t="str">
        <f aca="false">'Estoque Atual por Produto'!B16</f>
        <v>Tomate Picado</v>
      </c>
      <c r="C13" s="8" t="s">
        <v>210</v>
      </c>
      <c r="D13" s="11" t="str">
        <f aca="false">'Estoque Atual por Produto'!C16</f>
        <v>KG</v>
      </c>
      <c r="E13" s="21" t="n">
        <f aca="false">'Estoque Atual por Produto'!F16</f>
        <v>5</v>
      </c>
      <c r="F13" s="21" t="n">
        <f aca="false">'Estoque Atual por Produto'!G16</f>
        <v>2</v>
      </c>
      <c r="G13" s="16" t="n">
        <f aca="false">E13-F13</f>
        <v>3</v>
      </c>
      <c r="H13" s="20" t="str">
        <f aca="false">IF(E13&lt;=F13,"⚠ ABAIXO DO MÍNIMO","✓ NORMAL")</f>
        <v>✓ NORMAL</v>
      </c>
    </row>
    <row r="15" customFormat="false" ht="15" hidden="false" customHeight="false" outlineLevel="0" collapsed="false">
      <c r="A15" s="19" t="s">
        <v>214</v>
      </c>
      <c r="B15" s="19"/>
      <c r="C15" s="19"/>
      <c r="D15" s="19"/>
      <c r="E15" s="19"/>
      <c r="F15" s="19"/>
      <c r="G15" s="19"/>
      <c r="H15" s="19"/>
    </row>
    <row r="16" customFormat="false" ht="30" hidden="false" customHeight="true" outlineLevel="0" collapsed="false">
      <c r="A16" s="4" t="s">
        <v>212</v>
      </c>
      <c r="B16" s="4" t="s">
        <v>199</v>
      </c>
      <c r="C16" s="4" t="s">
        <v>55</v>
      </c>
      <c r="D16" s="4" t="s">
        <v>138</v>
      </c>
      <c r="E16" s="4" t="s">
        <v>139</v>
      </c>
      <c r="F16" s="4" t="s">
        <v>215</v>
      </c>
      <c r="G16" s="4" t="s">
        <v>203</v>
      </c>
      <c r="H16" s="4"/>
    </row>
    <row r="17" customFormat="false" ht="15" hidden="false" customHeight="false" outlineLevel="0" collapsed="false">
      <c r="A17" s="8" t="s">
        <v>216</v>
      </c>
      <c r="B17" s="11" t="str">
        <f aca="false">'Entrada na Central'!C2</f>
        <v>BR-001</v>
      </c>
      <c r="C17" s="11" t="str">
        <f aca="false">'Entrada na Central'!D2</f>
        <v>Salmão Fresco</v>
      </c>
      <c r="D17" s="11" t="str">
        <f aca="false">'Entrada na Central'!J2</f>
        <v>L001</v>
      </c>
      <c r="E17" s="22" t="n">
        <f aca="false">'Entrada na Central'!K2</f>
        <v>46215</v>
      </c>
      <c r="F17" s="20" t="n">
        <f aca="true">E17-TODAY()</f>
        <v>3</v>
      </c>
      <c r="G17" s="20" t="str">
        <f aca="false">IF(F17&lt;0,"✖ VENCIDO",IF(F17&lt;=3,"⚠ URGENTE",IF(F17&lt;=7,"⏳ ATENÇÃO","✓ OK")))</f>
        <v>⚠ URGENTE</v>
      </c>
    </row>
    <row r="18" customFormat="false" ht="15" hidden="false" customHeight="false" outlineLevel="0" collapsed="false">
      <c r="A18" s="8" t="s">
        <v>216</v>
      </c>
      <c r="B18" s="11" t="str">
        <f aca="false">'Entrada na Central'!C3</f>
        <v>BR-002</v>
      </c>
      <c r="C18" s="11" t="str">
        <f aca="false">'Entrada na Central'!D3</f>
        <v>Arroz Japonês</v>
      </c>
      <c r="D18" s="11" t="str">
        <f aca="false">'Entrada na Central'!J3</f>
        <v>L002</v>
      </c>
      <c r="E18" s="22" t="n">
        <f aca="false">'Entrada na Central'!K3</f>
        <v>46388</v>
      </c>
      <c r="F18" s="20" t="n">
        <f aca="true">E18-TODAY()</f>
        <v>176</v>
      </c>
      <c r="G18" s="20" t="str">
        <f aca="false">IF(F18&lt;0,"✖ VENCIDO",IF(F18&lt;=3,"⚠ URGENTE",IF(F18&lt;=7,"⏳ ATENÇÃO","✓ OK")))</f>
        <v>✓ OK</v>
      </c>
    </row>
    <row r="19" customFormat="false" ht="15" hidden="false" customHeight="false" outlineLevel="0" collapsed="false">
      <c r="A19" s="8" t="s">
        <v>216</v>
      </c>
      <c r="B19" s="11" t="str">
        <f aca="false">'Entrada na Central'!C4</f>
        <v>BR-004</v>
      </c>
      <c r="C19" s="11" t="str">
        <f aca="false">'Entrada na Central'!D4</f>
        <v>Filé de Frango</v>
      </c>
      <c r="D19" s="11" t="str">
        <f aca="false">'Entrada na Central'!J4</f>
        <v>L003</v>
      </c>
      <c r="E19" s="22" t="n">
        <f aca="false">'Entrada na Central'!K4</f>
        <v>46212</v>
      </c>
      <c r="F19" s="20" t="n">
        <f aca="true">E19-TODAY()</f>
        <v>0</v>
      </c>
      <c r="G19" s="20" t="str">
        <f aca="false">IF(F19&lt;0,"✖ VENCIDO",IF(F19&lt;=3,"⚠ URGENTE",IF(F19&lt;=7,"⏳ ATENÇÃO","✓ OK")))</f>
        <v>⚠ URGENTE</v>
      </c>
    </row>
    <row r="20" customFormat="false" ht="15" hidden="false" customHeight="false" outlineLevel="0" collapsed="false">
      <c r="A20" s="8" t="s">
        <v>216</v>
      </c>
      <c r="B20" s="11" t="str">
        <f aca="false">'Entrada na Central'!C5</f>
        <v>BR-005</v>
      </c>
      <c r="C20" s="11" t="str">
        <f aca="false">'Entrada na Central'!D5</f>
        <v>Tomate</v>
      </c>
      <c r="D20" s="11" t="str">
        <f aca="false">'Entrada na Central'!J5</f>
        <v>L004</v>
      </c>
      <c r="E20" s="22" t="n">
        <f aca="false">'Entrada na Central'!K5</f>
        <v>46213</v>
      </c>
      <c r="F20" s="20" t="n">
        <f aca="true">E20-TODAY()</f>
        <v>1</v>
      </c>
      <c r="G20" s="20" t="str">
        <f aca="false">IF(F20&lt;0,"✖ VENCIDO",IF(F20&lt;=3,"⚠ URGENTE",IF(F20&lt;=7,"⏳ ATENÇÃO","✓ OK")))</f>
        <v>⚠ URGENTE</v>
      </c>
    </row>
    <row r="21" customFormat="false" ht="15" hidden="false" customHeight="false" outlineLevel="0" collapsed="false">
      <c r="A21" s="8" t="s">
        <v>216</v>
      </c>
      <c r="B21" s="11" t="str">
        <f aca="false">'Entrada na Central'!C6</f>
        <v>BR-003</v>
      </c>
      <c r="C21" s="11" t="str">
        <f aca="false">'Entrada na Central'!D6</f>
        <v>Alface Americana</v>
      </c>
      <c r="D21" s="11" t="str">
        <f aca="false">'Entrada na Central'!J6</f>
        <v>L005</v>
      </c>
      <c r="E21" s="22" t="n">
        <f aca="false">'Entrada na Central'!K6</f>
        <v>46212</v>
      </c>
      <c r="F21" s="20" t="n">
        <f aca="true">E21-TODAY()</f>
        <v>0</v>
      </c>
      <c r="G21" s="20" t="str">
        <f aca="false">IF(F21&lt;0,"✖ VENCIDO",IF(F21&lt;=3,"⚠ URGENTE",IF(F21&lt;=7,"⏳ ATENÇÃO","✓ OK")))</f>
        <v>⚠ URGENTE</v>
      </c>
    </row>
    <row r="22" customFormat="false" ht="15" hidden="false" customHeight="false" outlineLevel="0" collapsed="false">
      <c r="A22" s="8" t="s">
        <v>210</v>
      </c>
      <c r="B22" s="11" t="str">
        <f aca="false">'Entrada Estoque Fracionado'!C2</f>
        <v>FR-001</v>
      </c>
      <c r="C22" s="11" t="str">
        <f aca="false">'Entrada Estoque Fracionado'!D2</f>
        <v>Salmão Fatiado para Sushi</v>
      </c>
      <c r="D22" s="11" t="str">
        <f aca="false">'Entrada Estoque Fracionado'!B2</f>
        <v>LP-001</v>
      </c>
      <c r="E22" s="22" t="n">
        <f aca="false">'Entrada Estoque Fracionado'!H2</f>
        <v>46211</v>
      </c>
      <c r="F22" s="20" t="n">
        <f aca="true">E22-TODAY()</f>
        <v>-1</v>
      </c>
      <c r="G22" s="20" t="str">
        <f aca="false">IF(F22&lt;0,"✖ VENCIDO",IF(F22&lt;=3,"⚠ URGENTE",IF(F22&lt;=7,"⏳ ATENÇÃO","✓ OK")))</f>
        <v>✖ VENCIDO</v>
      </c>
    </row>
    <row r="23" customFormat="false" ht="15" hidden="false" customHeight="false" outlineLevel="0" collapsed="false">
      <c r="A23" s="8" t="s">
        <v>210</v>
      </c>
      <c r="B23" s="11" t="str">
        <f aca="false">'Entrada Estoque Fracionado'!C3</f>
        <v>FR-002</v>
      </c>
      <c r="C23" s="11" t="str">
        <f aca="false">'Entrada Estoque Fracionado'!D3</f>
        <v>Arroz Temperado para Sushi</v>
      </c>
      <c r="D23" s="11" t="str">
        <f aca="false">'Entrada Estoque Fracionado'!B3</f>
        <v>LP-002</v>
      </c>
      <c r="E23" s="22" t="n">
        <f aca="false">'Entrada Estoque Fracionado'!H3</f>
        <v>46211</v>
      </c>
      <c r="F23" s="20" t="n">
        <f aca="true">E23-TODAY()</f>
        <v>-1</v>
      </c>
      <c r="G23" s="20" t="str">
        <f aca="false">IF(F23&lt;0,"✖ VENCIDO",IF(F23&lt;=3,"⚠ URGENTE",IF(F23&lt;=7,"⏳ ATENÇÃO","✓ OK")))</f>
        <v>✖ VENCIDO</v>
      </c>
    </row>
    <row r="24" customFormat="false" ht="15" hidden="false" customHeight="false" outlineLevel="0" collapsed="false">
      <c r="A24" s="8" t="s">
        <v>210</v>
      </c>
      <c r="B24" s="11" t="str">
        <f aca="false">'Entrada Estoque Fracionado'!C4</f>
        <v>FR-003</v>
      </c>
      <c r="C24" s="11" t="str">
        <f aca="false">'Entrada Estoque Fracionado'!D4</f>
        <v>Alface Higienizada e Cortada</v>
      </c>
      <c r="D24" s="11" t="str">
        <f aca="false">'Entrada Estoque Fracionado'!B4</f>
        <v>LP-003</v>
      </c>
      <c r="E24" s="22" t="n">
        <f aca="false">'Entrada Estoque Fracionado'!H4</f>
        <v>46212</v>
      </c>
      <c r="F24" s="20" t="n">
        <f aca="true">E24-TODAY()</f>
        <v>0</v>
      </c>
      <c r="G24" s="20" t="str">
        <f aca="false">IF(F24&lt;0,"✖ VENCIDO",IF(F24&lt;=3,"⚠ URGENTE",IF(F24&lt;=7,"⏳ ATENÇÃO","✓ OK")))</f>
        <v>⚠ URGENTE</v>
      </c>
    </row>
    <row r="25" customFormat="false" ht="15" hidden="false" customHeight="false" outlineLevel="0" collapsed="false">
      <c r="A25" s="8" t="s">
        <v>210</v>
      </c>
      <c r="B25" s="11" t="str">
        <f aca="false">'Entrada Estoque Fracionado'!C5</f>
        <v>FR-005</v>
      </c>
      <c r="C25" s="11" t="str">
        <f aca="false">'Entrada Estoque Fracionado'!D5</f>
        <v>Tomate Picado</v>
      </c>
      <c r="D25" s="11" t="str">
        <f aca="false">'Entrada Estoque Fracionado'!B5</f>
        <v>LP-004</v>
      </c>
      <c r="E25" s="22" t="n">
        <f aca="false">'Entrada Estoque Fracionado'!H5</f>
        <v>46211</v>
      </c>
      <c r="F25" s="20" t="n">
        <f aca="true">E25-TODAY()</f>
        <v>-1</v>
      </c>
      <c r="G25" s="20" t="str">
        <f aca="false">IF(F25&lt;0,"✖ VENCIDO",IF(F25&lt;=3,"⚠ URGENTE",IF(F25&lt;=7,"⏳ ATENÇÃO","✓ OK")))</f>
        <v>✖ VENCIDO</v>
      </c>
    </row>
  </sheetData>
  <mergeCells count="2">
    <mergeCell ref="A1:H1"/>
    <mergeCell ref="A15:H15"/>
  </mergeCells>
  <conditionalFormatting sqref="H3:H13">
    <cfRule type="expression" priority="2" aboveAverage="0" equalAverage="0" bottom="0" percent="0" rank="0" text="" dxfId="0">
      <formula>LEFT(H3,1)="⚠"</formula>
    </cfRule>
    <cfRule type="expression" priority="3" aboveAverage="0" equalAverage="0" bottom="0" percent="0" rank="0" text="" dxfId="1">
      <formula>LEFT(H3,1)="✓"</formula>
    </cfRule>
  </conditionalFormatting>
  <conditionalFormatting sqref="G17:G25">
    <cfRule type="expression" priority="4" aboveAverage="0" equalAverage="0" bottom="0" percent="0" rank="0" text="" dxfId="0">
      <formula>OR(LEFT(G17,1)="✖",LEFT(G17,1)="⚠")</formula>
    </cfRule>
    <cfRule type="expression" priority="5" aboveAverage="0" equalAverage="0" bottom="0" percent="0" rank="0" text="" dxfId="2">
      <formula>LEFT(G17,1)="⏳"</formula>
    </cfRule>
    <cfRule type="expression" priority="6" aboveAverage="0" equalAverage="0" bottom="0" percent="0" rank="0" text="" dxfId="1">
      <formula>LEFT(G17,1)="✓"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5" t="s">
        <v>219</v>
      </c>
      <c r="B4" s="23" t="n">
        <f aca="false">COUNTA('Cadastro Produtos Brutos'!A2:A301)</f>
        <v>6</v>
      </c>
    </row>
    <row r="5" customFormat="false" ht="15" hidden="false" customHeight="false" outlineLevel="0" collapsed="false">
      <c r="A5" s="5" t="s">
        <v>220</v>
      </c>
      <c r="B5" s="23" t="n">
        <f aca="false">COUNTA('Cadastro Produtos Fracionados'!A2:A301)</f>
        <v>5</v>
      </c>
    </row>
    <row r="6" customFormat="false" ht="15" hidden="false" customHeight="false" outlineLevel="0" collapsed="false">
      <c r="A6" s="5" t="s">
        <v>221</v>
      </c>
      <c r="B6" s="23" t="n">
        <f aca="false">COUNTIF('Cadastro de Locais'!E2:E301,"Sim")</f>
        <v>5</v>
      </c>
    </row>
    <row r="7" customFormat="false" ht="15" hidden="false" customHeight="false" outlineLevel="0" collapsed="false">
      <c r="A7" s="5" t="s">
        <v>222</v>
      </c>
      <c r="B7" s="24" t="n">
        <f aca="false">SUM('Entrada na Central'!I2:I301)</f>
        <v>2657.5</v>
      </c>
    </row>
    <row r="8" customFormat="false" ht="15" hidden="false" customHeight="false" outlineLevel="0" collapsed="false">
      <c r="A8" s="5" t="s">
        <v>223</v>
      </c>
      <c r="B8" s="24" t="n">
        <f aca="false">SUMPRODUCT(('Estoque Atual por Produto'!F3:F8)*('Cadastro Produtos Brutos'!I2:I7))</f>
        <v>890.5</v>
      </c>
    </row>
    <row r="9" customFormat="false" ht="15" hidden="false" customHeight="false" outlineLevel="0" collapsed="false">
      <c r="A9" s="5" t="s">
        <v>224</v>
      </c>
      <c r="B9" s="23" t="n">
        <f aca="false">SUM('Saída da Central'!G2:G301)</f>
        <v>87</v>
      </c>
    </row>
    <row r="10" customFormat="false" ht="15" hidden="false" customHeight="false" outlineLevel="0" collapsed="false">
      <c r="A10" s="5" t="s">
        <v>225</v>
      </c>
      <c r="B10" s="23" t="n">
        <f aca="false">SUM('Entrada Estoque Fracionado'!E2:E301)</f>
        <v>58</v>
      </c>
    </row>
    <row r="11" customFormat="false" ht="15" hidden="false" customHeight="false" outlineLevel="0" collapsed="false">
      <c r="A11" s="5" t="s">
        <v>226</v>
      </c>
      <c r="B11" s="23" t="n">
        <f aca="false">SUM('Saída Estoque Fracionado'!G2:G301)</f>
        <v>33</v>
      </c>
    </row>
    <row r="12" customFormat="false" ht="15" hidden="false" customHeight="false" outlineLevel="0" collapsed="false">
      <c r="A12" s="5" t="s">
        <v>227</v>
      </c>
      <c r="B12" s="23" t="n">
        <f aca="false">COUNTIF(Alertas!H3:H13,"*ABAIXO*")</f>
        <v>5</v>
      </c>
    </row>
    <row r="13" customFormat="false" ht="15" hidden="false" customHeight="false" outlineLevel="0" collapsed="false">
      <c r="A13" s="5" t="s">
        <v>228</v>
      </c>
      <c r="B13" s="23" t="n">
        <f aca="false">COUNTIF(Alertas!G17:G25,"*VENCIDO*")+COUNTIF(Alertas!G17:G25,"*URGENTE*")</f>
        <v>8</v>
      </c>
    </row>
    <row r="14" customFormat="false" ht="15" hidden="false" customHeight="false" outlineLevel="0" collapsed="false">
      <c r="A14" s="5" t="s">
        <v>229</v>
      </c>
      <c r="B14" s="23" t="n">
        <f aca="false">COUNTIF(Alertas!G17:G25,"*ATENÇÃO*")</f>
        <v>0</v>
      </c>
    </row>
    <row r="17" customFormat="false" ht="15" hidden="false" customHeight="false" outlineLevel="0" collapsed="false">
      <c r="A17" s="6" t="s">
        <v>230</v>
      </c>
    </row>
    <row r="18" customFormat="false" ht="30" hidden="false" customHeight="true" outlineLevel="0" collapsed="false">
      <c r="A18" s="4" t="s">
        <v>207</v>
      </c>
      <c r="B18" s="4" t="s">
        <v>231</v>
      </c>
    </row>
    <row r="19" customFormat="false" ht="15" hidden="false" customHeight="false" outlineLevel="0" collapsed="false">
      <c r="A19" s="5" t="s">
        <v>116</v>
      </c>
      <c r="B19" s="20" t="n">
        <f aca="false">COUNTIFS('Estoque Atual por Local'!$A:$A,A19,'Estoque Atual por Local'!$F:$F,"&gt;0")</f>
        <v>5</v>
      </c>
    </row>
    <row r="20" customFormat="false" ht="15" hidden="false" customHeight="false" outlineLevel="0" collapsed="false">
      <c r="A20" s="5" t="s">
        <v>128</v>
      </c>
      <c r="B20" s="20" t="n">
        <f aca="false">COUNTIFS('Estoque Atual por Local'!$A:$A,A20,'Estoque Atual por Local'!$F:$F,"&gt;0")</f>
        <v>6</v>
      </c>
    </row>
    <row r="21" customFormat="false" ht="15" hidden="false" customHeight="false" outlineLevel="0" collapsed="false">
      <c r="A21" s="5" t="s">
        <v>121</v>
      </c>
      <c r="B21" s="20" t="n">
        <f aca="false">COUNTIFS('Estoque Atual por Local'!$A:$A,A21,'Estoque Atual por Local'!$F:$F,"&gt;0")</f>
        <v>2</v>
      </c>
    </row>
    <row r="22" customFormat="false" ht="15" hidden="false" customHeight="false" outlineLevel="0" collapsed="false">
      <c r="A22" s="5" t="s">
        <v>124</v>
      </c>
      <c r="B22" s="20" t="n">
        <f aca="false">COUNTIFS('Estoque Atual por Local'!$A:$A,A22,'Estoque Atual por Local'!$F:$F,"&gt;0")</f>
        <v>2</v>
      </c>
    </row>
    <row r="23" customFormat="false" ht="15" hidden="false" customHeight="false" outlineLevel="0" collapsed="false">
      <c r="A23" s="5" t="s">
        <v>126</v>
      </c>
      <c r="B23" s="20" t="n">
        <f aca="false">COUNTIFS('Estoque Atual por Local'!$A:$A,A23,'Estoque Atual por Local'!$F:$F,"&gt;0")</f>
        <v>2</v>
      </c>
    </row>
    <row r="25" customFormat="false" ht="30" hidden="false" customHeight="true" outlineLevel="0" collapsed="false">
      <c r="A25" s="25" t="s">
        <v>232</v>
      </c>
      <c r="B25" s="25"/>
      <c r="C25" s="25"/>
      <c r="D25" s="25"/>
      <c r="E25" s="25"/>
      <c r="F25" s="25"/>
    </row>
  </sheetData>
  <mergeCells count="1"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2026-07-09T19:18:39Z</dcterms:created>
  <dc:creator>openpyxl</dc:creator>
  <dc:description/>
  <dc:language>en-US</dc:language>
  <cp:lastModifiedBy/>
  <dcterms:modified xsi:type="dcterms:W3CDTF">2026-07-09T16:18:40Z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